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116" documentId="11_F25DC773A252ABDACC1048BD89DC52D45ADE58EF" xr6:coauthVersionLast="47" xr6:coauthVersionMax="47" xr10:uidLastSave="{2D1AF4BA-4F09-4B88-8B18-6FF301A2FA2C}"/>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381" i="1" l="1"/>
  <c r="D380" i="1"/>
  <c r="D382" i="1"/>
  <c r="D383" i="1"/>
  <c r="D379" i="1"/>
  <c r="C358" i="1"/>
  <c r="B344" i="1"/>
  <c r="B345" i="1"/>
  <c r="B346" i="1"/>
  <c r="B343" i="1"/>
  <c r="F316" i="1" a="1"/>
  <c r="F316" i="1" s="1"/>
  <c r="F317" i="1" s="1"/>
  <c r="F315" i="1"/>
  <c r="D296" i="1"/>
  <c r="D297" i="1"/>
  <c r="D298" i="1"/>
  <c r="D295" i="1"/>
  <c r="C299" i="1"/>
  <c r="D299" i="1" s="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D385" i="1"/>
  <c r="C359" i="1"/>
  <c r="C343" i="1"/>
  <c r="D269" i="1"/>
  <c r="D283" i="1"/>
  <c r="E204" i="1"/>
  <c r="G315" i="1"/>
  <c r="E295" i="1"/>
  <c r="B256" i="1"/>
  <c r="C236" i="1"/>
  <c r="C145" i="1" l="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<sst xmlns="http://schemas.openxmlformats.org/spreadsheetml/2006/main" count="493" uniqueCount="401">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</sst>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4" x14ac:knownFonts="1">
    <font>
      <sz val="11"/>
      <color theme="1"/>
      <name val="Calibri"/>
      <family val="2"/>
      <scheme val="minor"/>
    </font>
    <font>
      <sz val="10"/>
      <color theme="1"/>
      <name val="Calibri Light"/>
      <family val="2"/>
      <scheme val="major"/>
    </font>
    <font>
      <sz val="10"/>
      <color rgb="FF1E1E1E"/>
      <name val="Calibri Light"/>
      <family val="2"/>
      <scheme val="major"/>
    </font>
    <font>
      <sz val="10"/>
      <color rgb="FF555555"/>
      <name val="Calibri Light"/>
      <family val="2"/>
      <scheme val="major"/>
    </font>
  </fonts>
  <fills count="13">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1" fillId="0" borderId="0" xfId="0" applyFont="1" applyAlignment="1">
      <alignment horizontal="center" vertical="center" wrapText="1"/>
    </xf>
    <xf numFmtId="0" fontId="1" fillId="0" borderId="0" xfId="0" applyFont="1" applyAlignment="1">
      <alignment horizontal="center" vertical="top"/>
    </xf>
    <xf numFmtId="0" fontId="3" fillId="0" borderId="0" xfId="0" applyFont="1" applyAlignment="1">
      <alignment vertical="center" wrapText="1"/>
    </xf>
    <xf numFmtId="0" fontId="1" fillId="12"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85"/>
  <sheetViews>
    <sheetView tabSelected="1" topLeftCell="A365" workbookViewId="0">
      <selection activeCell="A388" sqref="A388"/>
    </sheetView>
  </sheetViews>
  <sheetFormatPr defaultRowHeight="13.8" x14ac:dyDescent="0.3"/>
  <cols>
    <col min="1" max="1" width="149.88671875" style="1" bestFit="1" customWidth="1"/>
    <col min="2" max="2" width="30.109375" style="1" customWidth="1"/>
    <col min="3"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4" t="s">
        <v>0</v>
      </c>
      <c r="B1" s="25"/>
      <c r="C1" s="25"/>
      <c r="D1" s="25"/>
      <c r="E1" s="25"/>
      <c r="F1" s="25"/>
      <c r="G1" s="25"/>
      <c r="H1" s="25"/>
      <c r="I1" s="25"/>
      <c r="J1" s="25"/>
    </row>
    <row r="3" spans="1:23" x14ac:dyDescent="0.3">
      <c r="B3" s="1">
        <f>32+57</f>
        <v>89</v>
      </c>
    </row>
    <row r="6" spans="1:23" x14ac:dyDescent="0.3">
      <c r="A6" s="26"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6" t="s">
        <v>28</v>
      </c>
      <c r="B16" s="27"/>
      <c r="C16" s="27"/>
      <c r="D16" s="27"/>
      <c r="E16" s="27"/>
      <c r="F16" s="27"/>
      <c r="G16" s="27"/>
      <c r="H16" s="27"/>
      <c r="I16" s="27"/>
      <c r="J16" s="27"/>
      <c r="K16" s="27"/>
      <c r="L16" s="27"/>
      <c r="M16" s="27"/>
      <c r="N16" s="27"/>
      <c r="O16" s="27"/>
      <c r="P16" s="27"/>
      <c r="Q16" s="27"/>
      <c r="R16" s="27"/>
      <c r="S16" s="27"/>
      <c r="T16" s="27"/>
      <c r="U16" s="27"/>
      <c r="V16" s="27"/>
      <c r="W16" s="27"/>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6" t="s">
        <v>212</v>
      </c>
      <c r="B26" s="27"/>
      <c r="C26" s="27"/>
      <c r="D26" s="27"/>
      <c r="E26" s="27"/>
      <c r="F26" s="27"/>
      <c r="G26" s="27"/>
      <c r="H26" s="27"/>
      <c r="I26" s="27"/>
      <c r="J26" s="27"/>
      <c r="K26" s="27"/>
      <c r="L26" s="27"/>
      <c r="M26" s="27"/>
      <c r="N26" s="27"/>
      <c r="O26" s="27"/>
      <c r="P26" s="27"/>
      <c r="Q26" s="27"/>
      <c r="R26" s="27"/>
      <c r="S26" s="27"/>
      <c r="T26" s="27"/>
      <c r="U26" s="27"/>
      <c r="V26" s="27"/>
      <c r="W26" s="27"/>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6"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28"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28"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28"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28"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28"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28"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29"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28"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29"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29"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0" t="s">
        <v>198</v>
      </c>
      <c r="C169" s="10" t="s">
        <v>167</v>
      </c>
      <c r="D169" s="30"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29"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29"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29"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29"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33" t="str">
        <f ca="1">_xlfn.FORMULATEXT(B236)</f>
        <v>=XLOOKUP(B235,A227:A233,C227:C233,0)</v>
      </c>
    </row>
    <row r="237" spans="1:3" x14ac:dyDescent="0.3">
      <c r="C237" s="33"/>
    </row>
    <row r="238" spans="1:3" x14ac:dyDescent="0.3">
      <c r="A238" s="29"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34" t="str">
        <f ca="1">_xlfn.FORMULATEXT(C251)</f>
        <v>=XLOOKUP(A251,A$242:A$248,$C$242:$C$248,0)</v>
      </c>
      <c r="C256" s="34"/>
    </row>
    <row r="258" spans="1:4" x14ac:dyDescent="0.3">
      <c r="A258" s="29"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29"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29"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29" t="s">
        <v>326</v>
      </c>
    </row>
    <row r="302" spans="1:5" x14ac:dyDescent="0.3">
      <c r="A302" s="4" t="s">
        <v>346</v>
      </c>
    </row>
    <row r="303" spans="1:5" x14ac:dyDescent="0.3">
      <c r="A303" s="31"/>
    </row>
    <row r="304" spans="1:5" x14ac:dyDescent="0.3">
      <c r="A304" s="31" t="s">
        <v>347</v>
      </c>
    </row>
    <row r="305" spans="1:7" x14ac:dyDescent="0.3">
      <c r="A305" s="31" t="s">
        <v>348</v>
      </c>
    </row>
    <row r="306" spans="1:7" x14ac:dyDescent="0.3">
      <c r="A306" s="16"/>
    </row>
    <row r="307" spans="1:7" x14ac:dyDescent="0.3">
      <c r="A307" s="4" t="s">
        <v>327</v>
      </c>
    </row>
    <row r="308" spans="1:7" x14ac:dyDescent="0.3">
      <c r="A308" s="31"/>
    </row>
    <row r="309" spans="1:7" x14ac:dyDescent="0.3">
      <c r="A309" s="31" t="s">
        <v>349</v>
      </c>
    </row>
    <row r="310" spans="1:7" x14ac:dyDescent="0.3">
      <c r="A310" s="31" t="s">
        <v>350</v>
      </c>
    </row>
    <row r="311" spans="1:7" x14ac:dyDescent="0.3">
      <c r="A311" s="31" t="s">
        <v>351</v>
      </c>
    </row>
    <row r="312" spans="1:7" x14ac:dyDescent="0.3">
      <c r="A312" s="32"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row r="324" spans="1:7" x14ac:dyDescent="0.3">
      <c r="A324" s="29" t="s">
        <v>352</v>
      </c>
    </row>
    <row r="325" spans="1:7" x14ac:dyDescent="0.3">
      <c r="A325" s="16" t="s">
        <v>353</v>
      </c>
    </row>
    <row r="326" spans="1:7" x14ac:dyDescent="0.3">
      <c r="A326" s="31" t="s">
        <v>365</v>
      </c>
    </row>
    <row r="327" spans="1:7" x14ac:dyDescent="0.3">
      <c r="A327" s="31" t="s">
        <v>366</v>
      </c>
    </row>
    <row r="328" spans="1:7" x14ac:dyDescent="0.3">
      <c r="A328" s="31" t="s">
        <v>367</v>
      </c>
    </row>
    <row r="329" spans="1:7" x14ac:dyDescent="0.3">
      <c r="A329" s="31" t="s">
        <v>368</v>
      </c>
    </row>
    <row r="330" spans="1:7" x14ac:dyDescent="0.3">
      <c r="A330" s="31" t="s">
        <v>369</v>
      </c>
    </row>
    <row r="331" spans="1:7" x14ac:dyDescent="0.3">
      <c r="A331" s="31" t="s">
        <v>370</v>
      </c>
    </row>
    <row r="333" spans="1:7" x14ac:dyDescent="0.3">
      <c r="A333" s="4" t="s">
        <v>354</v>
      </c>
      <c r="B333" s="4"/>
    </row>
    <row r="334" spans="1:7" x14ac:dyDescent="0.3">
      <c r="A334" s="7" t="s">
        <v>235</v>
      </c>
      <c r="B334" s="7" t="s">
        <v>87</v>
      </c>
    </row>
    <row r="335" spans="1:7" x14ac:dyDescent="0.3">
      <c r="A335" s="4">
        <v>1040</v>
      </c>
      <c r="B335" s="4" t="s">
        <v>92</v>
      </c>
    </row>
    <row r="336" spans="1:7" x14ac:dyDescent="0.3">
      <c r="A336" s="4">
        <v>1042</v>
      </c>
      <c r="B336" s="4" t="s">
        <v>116</v>
      </c>
    </row>
    <row r="337" spans="1:3" x14ac:dyDescent="0.3">
      <c r="A337" s="4">
        <v>1051</v>
      </c>
      <c r="B337" s="4" t="s">
        <v>355</v>
      </c>
    </row>
    <row r="338" spans="1:3" x14ac:dyDescent="0.3">
      <c r="A338" s="4">
        <v>1063</v>
      </c>
      <c r="B338" s="4" t="s">
        <v>90</v>
      </c>
    </row>
    <row r="339" spans="1:3" x14ac:dyDescent="0.3">
      <c r="A339" s="4">
        <v>1038</v>
      </c>
      <c r="B339" s="4" t="s">
        <v>356</v>
      </c>
    </row>
    <row r="340" spans="1:3" x14ac:dyDescent="0.3">
      <c r="A340" s="4"/>
      <c r="B340" s="4"/>
    </row>
    <row r="341" spans="1:3" x14ac:dyDescent="0.3">
      <c r="A341" s="4" t="s">
        <v>357</v>
      </c>
      <c r="B341" s="4"/>
    </row>
    <row r="342" spans="1:3" x14ac:dyDescent="0.3">
      <c r="A342" s="7" t="s">
        <v>235</v>
      </c>
      <c r="B342" s="7" t="s">
        <v>358</v>
      </c>
    </row>
    <row r="343" spans="1:3" x14ac:dyDescent="0.3">
      <c r="A343" s="4">
        <v>1042</v>
      </c>
      <c r="B343" s="5" t="str">
        <f>VLOOKUP(A343,$A$335:$B$339,2,0)</f>
        <v>HR</v>
      </c>
      <c r="C343" s="1" t="str">
        <f ca="1">_xlfn.FORMULATEXT(B343)</f>
        <v>=VLOOKUP(A343,$A$335:$B$339,2,0)</v>
      </c>
    </row>
    <row r="344" spans="1:3" x14ac:dyDescent="0.3">
      <c r="A344" s="4">
        <v>1038</v>
      </c>
      <c r="B344" s="5" t="str">
        <f t="shared" ref="B344:B346" si="16">VLOOKUP(A344,$A$335:$B$339,2,0)</f>
        <v>Payroll</v>
      </c>
    </row>
    <row r="345" spans="1:3" x14ac:dyDescent="0.3">
      <c r="A345" s="4">
        <v>1051</v>
      </c>
      <c r="B345" s="5" t="str">
        <f t="shared" si="16"/>
        <v>IT</v>
      </c>
    </row>
    <row r="346" spans="1:3" x14ac:dyDescent="0.3">
      <c r="A346" s="4">
        <v>1040</v>
      </c>
      <c r="B346" s="5" t="str">
        <f t="shared" si="16"/>
        <v>Finance</v>
      </c>
    </row>
    <row r="347" spans="1:3" x14ac:dyDescent="0.3">
      <c r="A347" s="4"/>
    </row>
    <row r="348" spans="1:3" x14ac:dyDescent="0.3">
      <c r="A348" s="29" t="s">
        <v>360</v>
      </c>
    </row>
    <row r="349" spans="1:3" x14ac:dyDescent="0.3">
      <c r="A349" s="16" t="s">
        <v>359</v>
      </c>
    </row>
    <row r="350" spans="1:3" x14ac:dyDescent="0.3">
      <c r="A350" s="31" t="s">
        <v>371</v>
      </c>
    </row>
    <row r="351" spans="1:3" x14ac:dyDescent="0.3">
      <c r="A351" s="31" t="s">
        <v>372</v>
      </c>
    </row>
    <row r="352" spans="1:3" x14ac:dyDescent="0.3">
      <c r="A352" s="31" t="s">
        <v>361</v>
      </c>
    </row>
    <row r="353" spans="1:5" x14ac:dyDescent="0.3">
      <c r="A353" s="31" t="s">
        <v>373</v>
      </c>
    </row>
    <row r="355" spans="1:5" x14ac:dyDescent="0.3">
      <c r="A355" s="7" t="s">
        <v>362</v>
      </c>
      <c r="B355" s="7" t="s">
        <v>314</v>
      </c>
      <c r="C355" s="7" t="s">
        <v>315</v>
      </c>
      <c r="D355" s="7" t="s">
        <v>316</v>
      </c>
      <c r="E355" s="7" t="s">
        <v>317</v>
      </c>
    </row>
    <row r="356" spans="1:5" x14ac:dyDescent="0.3">
      <c r="A356" s="4" t="s">
        <v>363</v>
      </c>
      <c r="B356" s="4">
        <v>85000</v>
      </c>
      <c r="C356" s="4">
        <v>95000</v>
      </c>
      <c r="D356" s="4">
        <v>110000</v>
      </c>
      <c r="E356" s="4">
        <v>120000</v>
      </c>
    </row>
    <row r="357" spans="1:5" x14ac:dyDescent="0.3">
      <c r="C357" s="4"/>
      <c r="D357" s="4"/>
      <c r="E357" s="4"/>
    </row>
    <row r="358" spans="1:5" x14ac:dyDescent="0.3">
      <c r="A358" s="1" t="s">
        <v>310</v>
      </c>
      <c r="B358" s="1" t="s">
        <v>316</v>
      </c>
      <c r="C358" s="5">
        <f>HLOOKUP(B358,A355:E356,2,0)</f>
        <v>110000</v>
      </c>
      <c r="D358" s="4"/>
      <c r="E358" s="4"/>
    </row>
    <row r="359" spans="1:5" ht="26.4" customHeight="1" x14ac:dyDescent="0.3">
      <c r="A359" s="1" t="s">
        <v>364</v>
      </c>
      <c r="C359" s="33" t="str">
        <f ca="1">_xlfn.FORMULATEXT(C358)</f>
        <v>=HLOOKUP(B358,A355:E356,2,0)</v>
      </c>
      <c r="D359" s="4"/>
      <c r="E359" s="4"/>
    </row>
    <row r="360" spans="1:5" x14ac:dyDescent="0.3">
      <c r="C360" s="33"/>
    </row>
    <row r="362" spans="1:5" x14ac:dyDescent="0.3">
      <c r="A362" s="29" t="s">
        <v>374</v>
      </c>
    </row>
    <row r="363" spans="1:5" x14ac:dyDescent="0.3">
      <c r="A363" s="1" t="s">
        <v>375</v>
      </c>
    </row>
    <row r="364" spans="1:5" x14ac:dyDescent="0.3">
      <c r="A364" s="31" t="s">
        <v>396</v>
      </c>
    </row>
    <row r="365" spans="1:5" x14ac:dyDescent="0.3">
      <c r="A365" s="31" t="s">
        <v>397</v>
      </c>
    </row>
    <row r="367" spans="1:5" x14ac:dyDescent="0.3">
      <c r="A367" s="4" t="s">
        <v>398</v>
      </c>
    </row>
    <row r="368" spans="1:5" x14ac:dyDescent="0.3">
      <c r="A368" s="16"/>
    </row>
    <row r="369" spans="1:8" x14ac:dyDescent="0.3">
      <c r="A369" s="4" t="s">
        <v>376</v>
      </c>
    </row>
    <row r="370" spans="1:8" x14ac:dyDescent="0.3">
      <c r="A370" s="31"/>
    </row>
    <row r="371" spans="1:8" x14ac:dyDescent="0.3">
      <c r="A371" s="31" t="s">
        <v>399</v>
      </c>
    </row>
    <row r="372" spans="1:8" x14ac:dyDescent="0.3">
      <c r="A372" s="31" t="s">
        <v>377</v>
      </c>
    </row>
    <row r="373" spans="1:8" x14ac:dyDescent="0.3">
      <c r="A373" s="31" t="s">
        <v>400</v>
      </c>
    </row>
    <row r="375" spans="1:8" x14ac:dyDescent="0.3">
      <c r="A375" s="4" t="s">
        <v>378</v>
      </c>
      <c r="B375" s="4"/>
      <c r="C375" s="4"/>
      <c r="D375" s="4"/>
      <c r="E375" s="4"/>
      <c r="F375" s="4"/>
      <c r="G375" s="4"/>
      <c r="H375" s="4"/>
    </row>
    <row r="376" spans="1:8" x14ac:dyDescent="0.3">
      <c r="A376" s="35" t="s">
        <v>379</v>
      </c>
      <c r="B376" s="4"/>
      <c r="C376" s="4"/>
      <c r="D376" s="4"/>
      <c r="E376" s="4"/>
      <c r="F376" s="4"/>
      <c r="G376" s="4"/>
      <c r="H376" s="4"/>
    </row>
    <row r="377" spans="1:8" x14ac:dyDescent="0.3">
      <c r="A377" s="36" t="s">
        <v>380</v>
      </c>
      <c r="B377" s="4"/>
      <c r="C377" s="4"/>
      <c r="E377" s="4"/>
      <c r="F377" s="4"/>
      <c r="G377" s="36" t="s">
        <v>381</v>
      </c>
      <c r="H377" s="4"/>
    </row>
    <row r="378" spans="1:8" x14ac:dyDescent="0.3">
      <c r="A378" s="7" t="s">
        <v>382</v>
      </c>
      <c r="B378" s="7" t="s">
        <v>383</v>
      </c>
      <c r="C378" s="7" t="s">
        <v>384</v>
      </c>
      <c r="D378" s="7" t="s">
        <v>385</v>
      </c>
      <c r="E378" s="7" t="s">
        <v>386</v>
      </c>
      <c r="F378" s="4"/>
      <c r="G378" s="7" t="s">
        <v>387</v>
      </c>
      <c r="H378" s="7" t="s">
        <v>385</v>
      </c>
    </row>
    <row r="379" spans="1:8" x14ac:dyDescent="0.3">
      <c r="A379" s="4" t="s">
        <v>388</v>
      </c>
      <c r="B379" s="4" t="s">
        <v>389</v>
      </c>
      <c r="C379" s="4">
        <v>0.8</v>
      </c>
      <c r="D379" s="5">
        <f>VLOOKUP(C379,G379:H383,2,1)</f>
        <v>6.5</v>
      </c>
      <c r="E379" s="4">
        <v>5.2</v>
      </c>
      <c r="F379" s="4"/>
      <c r="G379" s="4">
        <v>0</v>
      </c>
      <c r="H379" s="4">
        <v>6.5</v>
      </c>
    </row>
    <row r="380" spans="1:8" x14ac:dyDescent="0.3">
      <c r="A380" s="4" t="s">
        <v>390</v>
      </c>
      <c r="B380" s="4" t="s">
        <v>389</v>
      </c>
      <c r="C380" s="4">
        <v>2.4</v>
      </c>
      <c r="D380" s="5">
        <f t="shared" ref="D380:D383" si="17">VLOOKUP(C380,G380:H384,2,1)</f>
        <v>5.75</v>
      </c>
      <c r="E380" s="4">
        <v>13.8</v>
      </c>
      <c r="F380" s="4"/>
      <c r="G380" s="4">
        <v>1</v>
      </c>
      <c r="H380" s="4">
        <v>5.75</v>
      </c>
    </row>
    <row r="381" spans="1:8" x14ac:dyDescent="0.3">
      <c r="A381" s="4" t="s">
        <v>391</v>
      </c>
      <c r="B381" s="4" t="s">
        <v>392</v>
      </c>
      <c r="C381" s="4">
        <v>6.2</v>
      </c>
      <c r="D381" s="5">
        <f>VLOOKUP(C381,G381:H385,2,1)</f>
        <v>5</v>
      </c>
      <c r="E381" s="4">
        <v>31</v>
      </c>
      <c r="F381" s="4"/>
      <c r="G381" s="4">
        <v>5</v>
      </c>
      <c r="H381" s="4">
        <v>5</v>
      </c>
    </row>
    <row r="382" spans="1:8" x14ac:dyDescent="0.3">
      <c r="A382" s="4" t="s">
        <v>393</v>
      </c>
      <c r="B382" s="4" t="s">
        <v>394</v>
      </c>
      <c r="C382" s="4">
        <v>12</v>
      </c>
      <c r="D382" s="5">
        <f t="shared" si="17"/>
        <v>4.25</v>
      </c>
      <c r="E382" s="4">
        <v>51</v>
      </c>
      <c r="F382" s="4"/>
      <c r="G382" s="4">
        <v>10</v>
      </c>
      <c r="H382" s="4">
        <v>4.25</v>
      </c>
    </row>
    <row r="383" spans="1:8" x14ac:dyDescent="0.3">
      <c r="A383" s="4" t="s">
        <v>395</v>
      </c>
      <c r="B383" s="4" t="s">
        <v>389</v>
      </c>
      <c r="C383" s="4">
        <v>24.5</v>
      </c>
      <c r="D383" s="5">
        <f t="shared" si="17"/>
        <v>3.75</v>
      </c>
      <c r="E383" s="4">
        <v>91.875</v>
      </c>
      <c r="F383" s="4"/>
      <c r="G383" s="4">
        <v>20</v>
      </c>
      <c r="H383" s="4">
        <v>3.75</v>
      </c>
    </row>
    <row r="385" spans="4:4" x14ac:dyDescent="0.3">
      <c r="D385" s="1" t="str">
        <f ca="1">_xlfn.FORMULATEXT(D379)</f>
        <v>=VLOOKUP(C379,G379:H383,2,1)</v>
      </c>
    </row>
  </sheetData>
  <mergeCells count="3">
    <mergeCell ref="C236:C237"/>
    <mergeCell ref="B256:C256"/>
    <mergeCell ref="C359:C3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2026-06-17T07:16:29Z</dcterms:modified>
</cp:coreProperties>
</file>