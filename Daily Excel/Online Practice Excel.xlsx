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226" documentId="11_F25DC773A252ABDACC1048BD89DC52D45ADE58EF" xr6:coauthVersionLast="47" xr6:coauthVersionMax="47" xr10:uidLastSave="{78381B51-8CD6-47C1-9C5E-38334C23280D}"/>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643" i="1" l="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7"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D653" i="1"/>
  <c r="E627" i="1"/>
  <c r="C610" i="1"/>
  <c r="B464" i="1"/>
  <c r="D283" i="1"/>
  <c r="C359" i="1"/>
  <c r="B550" i="1"/>
  <c r="B572" i="1"/>
  <c r="B500" i="1"/>
  <c r="G315" i="1"/>
  <c r="B411" i="1"/>
  <c r="E295" i="1"/>
  <c r="C427" i="1"/>
  <c r="E204" i="1"/>
  <c r="D385" i="1"/>
  <c r="C343" i="1"/>
  <c r="G441" i="1"/>
  <c r="D269" i="1"/>
  <c r="C236" i="1"/>
  <c r="C476" i="1"/>
  <c r="C534" i="1"/>
  <c r="C585" i="1"/>
  <c r="B256" i="1"/>
  <c r="C477" i="1"/>
  <c r="D299" i="1" l="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<sst xmlns="http://schemas.openxmlformats.org/spreadsheetml/2006/main" count="903" uniqueCount="697">
  <si>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</si>
  <si>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</si>
  <si>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</si>
  <si>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</si>
  <si>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</si>
  <si>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</si>
  <si>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</si>
  <si>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</si>
  <si>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</si>
  <si>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</si>
  <si>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</si>
  <si>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</si>
  <si>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</si>
  <si>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</si>
  <si>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</si>
  <si>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</si>
  <si>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</si>
  <si>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</si>
  <si>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</si>
  <si>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</si>
  <si>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</si>
  <si>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</si>
  <si>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</si>
  <si>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</si>
  <si>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</si>
  <si>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</si>
  <si>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</si>
  <si>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</si>
  <si>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</si>
  <si>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</si>
  <si>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</si>
  <si>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</si>
  <si>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</si>
  <si>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</si>
  <si>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</si>
  <si>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</si>
  <si>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</si>
  <si>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</si>
  <si>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</si>
  <si>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</si>
  <si>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</si>
  <si>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</si>
  <si>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</si>
  <si>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</si>
  <si>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</si>
  <si>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</si>
  <si>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</si>
  <si>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</si>
  <si>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</si>
  <si>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</si>
  <si>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</si>
  <si>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</si>
  <si>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</si>
  <si>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</si>
  <si>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</si>
  <si>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</si>
  <si>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</si>
  <si>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</si>
  <si>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</si>
  <si>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</si>
  <si>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</si>
  <si>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</si>
  <si>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</si>
  <si>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</si>
  <si>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</si>
  <si>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</si>
  <si>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</si>
  <si>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</si>
  <si>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</si>
  <si>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</si>
  <si>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</si>
  <si>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</si>
  <si>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</si>
  <si>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</si>
  <si>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</si>
  <si>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</si>
  <si>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</si>
  <si>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</si>
  <si>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</si>
  <si>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</si>
  <si>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</si>
  <si>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</si>
  <si>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</si>
  <si>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</si>
  <si>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</si>
  <si>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</si>
  <si>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</si>
  <si>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</si>
  <si>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</si>
  <si>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</si>
  <si>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</si>
  <si>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</si>
  <si>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</si>
  <si>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</si>
  <si>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</si>
  <si>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</si>
  <si>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</si>
  <si>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</si>
  <si>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</si>
  <si>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</si>
  <si>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</si>
  <si>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</si>
  <si>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</si>
  <si>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</si>
  <si>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</si>
  <si>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</si>
  <si>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</si>
  <si>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</si>
  <si>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</si>
  <si>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</si>
  <si>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</si>
  <si>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</si>
  <si>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</si>
  <si>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</si>
  <si>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</si>
  <si>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</si>
  <si>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</si>
  <si>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</si>
  <si>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</si>
  <si>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</si>
  <si>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</si>
  <si>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</si>
  <si>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</si>
  <si>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</si>
  <si>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</si>
  <si>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</si>
  <si>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</si>
  <si>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</si>
  <si>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</si>
  <si>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</si>
  <si>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</si>
  <si>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</si>
  <si>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</si>
  <si>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</si>
  <si>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</si>
  <si>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</si>
  <si>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</si>
  <si>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</si>
  <si>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</si>
  <si>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</si>
  <si>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</si>
  <si>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</si>
  <si>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</si>
  <si>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</si>
  <si>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</si>
  <si>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</si>
  <si>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</si>
  <si>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</si>
  <si>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</si>
  <si>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</si>
  <si>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</si>
  <si>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</si>
  <si>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</si>
  <si>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</si>
  <si>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</si>
  <si>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</si>
  <si>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</si>
  <si>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</si>
  <si>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</si>
  <si>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</si>
  <si>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</si>
  <si>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</si>
  <si>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</si>
  <si>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</si>
  <si>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</si>
  <si>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</si>
  <si>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</si>
  <si>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</si>
  <si>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</si>
  <si>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</si>
  <si>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</si>
  <si>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</si>
  <si>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</si>
  <si>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</si>
  <si>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</si>
  <si>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</si>
  <si>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</si>
  <si>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</si>
  <si>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</si>
  <si>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</si>
  <si>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</si>
  <si>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</si>
  <si>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</si>
  <si>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</si>
  <si>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</si>
  <si>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</si>
  <si>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</si>
  <si>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</si>
  <si>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</si>
  <si>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</si>
  <si>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</si>
  <si>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</si>
  <si>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</si>
  <si>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</si>
  <si>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</si>
  <si>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</si>
  <si>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</si>
  <si>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</si>
  <si>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</si>
  <si>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</si>
  <si>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</si>
  <si>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</si>
  <si>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</si>
  <si>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</si>
  <si>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</si>
  <si>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</si>
  <si>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</si>
  <si>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</si>
  <si>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</si>
  <si>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</si>
  <si>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</si>
  <si>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</si>
  <si>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</si>
  <si>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</si>
  <si>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</si>
  <si>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</si>
  <si>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</si>
  <si>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</si>
  <si>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</si>
  <si>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</si>
  <si>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</si>
  <si>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</si>
  <si>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</si>
  <si>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</si>
  <si>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</si>
  <si>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</si>
  <si>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</si>
  <si>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</si>
  <si>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</si>
  <si>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</si>
  <si>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</si>
  <si>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</si>
  <si>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</si>
  <si>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</si>
  <si>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</si>
  <si>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</si>
  <si>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</si>
  <si>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</si>
  <si>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</si>
  <si>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</si>
  <si>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</si>
  <si>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</si>
  <si>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</si>
  <si>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</si>
  <si>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</si>
  <si>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</si>
  <si>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</si>
  <si>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</si>
  <si>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</si>
  <si>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</si>
  <si>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</si>
  <si>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</si>
  <si>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</si>
  <si>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</si>
  <si>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</si>
  <si>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</si>
  <si>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</si>
  <si>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</si>
  <si>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</si>
  <si>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</si>
  <si>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</si>
  <si>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</si>
  <si>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</si>
  <si>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</si>
  <si>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</si>
  <si>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</si>
  <si>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</si>
  <si>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</si>
  <si>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</si>
  <si>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</si>
  <si>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</si>
  <si>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</si>
  <si>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</si>
  <si>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</si>
  <si>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</si>
  <si>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</si>
  <si>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</si>
  <si>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</si>
  <si>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</si>
  <si>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</si>
  <si>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</si>
  <si>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</si>
  <si>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</si>
  <si>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</si>
  <si>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</si>
  <si>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</si>
  <si>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</si>
  <si>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</si>
  <si>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</si>
  <si>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</si>
  <si>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</si>
  <si>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</si>
  <si>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</si>
  <si>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</si>
  <si>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</si>
  <si>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</si>
  <si>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</si>
  <si>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</si>
  <si>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</si>
  <si>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</si>
  <si>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</si>
  <si>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</si>
  <si>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</si>
  <si>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</si>
  <si>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</si>
  <si>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</si>
  <si>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</si>
  <si>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</si>
  <si>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</si>
  <si>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</si>
  <si>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</si>
  <si>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</si>
  <si>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</si>
  <si>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</si>
  <si>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</si>
  <si>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</si>
  <si>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</si>
  <si>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</si>
  <si>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</si>
  <si>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</si>
  <si>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</si>
  <si>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</si>
  <si>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</si>
  <si>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</si>
  <si>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</si>
  <si>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</si>
  <si>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</si>
  <si>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</si>
  <si>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</si>
  <si>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</si>
  <si>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</si>
  <si>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</si>
  <si>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</si>
  <si>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</si>
  <si>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</si>
  <si>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</si>
  <si>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</si>
  <si>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</si>
  <si>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</si>
  <si>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</si>
  <si>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</si>
  <si>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</si>
  <si>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</si>
  <si>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</si>
  <si>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</si>
  <si>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</si>
  <si>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</si>
  <si>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</si>
  <si>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</si>
  <si>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</si>
  <si>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</si>
  <si>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</si>
  <si>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</si>
  <si>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</si>
  <si>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</si>
  <si>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</si>
  <si>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</si>
  <si>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</si>
  <si>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</si>
  <si>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</si>
  <si>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</si>
  <si>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</si>
  <si>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</si>
  <si>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</si>
  <si>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</si>
  <si>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</si>
  <si>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</si>
  <si>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</si>
  <si>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</si>
  <si>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</si>
  <si>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</si>
  <si>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</si>
  <si>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</si>
  <si>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</si>
  <si>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</si>
  <si>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</si>
  <si>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</si>
  <si>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</si>
  <si>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</si>
  <si>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</si>
  <si>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</si>
  <si>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</si>
  <si>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</si>
  <si>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</si>
  <si>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</si>
  <si>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</si>
  <si>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</si>
  <si>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</si>
  <si>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</si>
  <si>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</si>
  <si>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</si>
  <si>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</si>
  <si>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</si>
  <si>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</si>
  <si>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</si>
  <si>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</si>
  <si>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</si>
  <si>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</si>
  <si>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</si>
  <si>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</si>
  <si>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</si>
  <si>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</si>
  <si>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</si>
  <si>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</si>
  <si>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</si>
  <si>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</si>
  <si>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</si>
  <si>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</si>
  <si>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</si>
  <si>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</si>
  <si>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</si>
  <si>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</si>
  <si>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</si>
  <si>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</si>
  <si>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</si>
  <si>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</si>
  <si>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</si>
  <si>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</si>
  <si>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</si>
  <si>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</si>
  <si>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</si>
  <si>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</si>
  <si>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</si>
  <si>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</si>
  <si>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</si>
  <si>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</si>
  <si>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</si>
  <si>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</si>
  <si>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</si>
  <si>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</si>
  <si>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</si>
  <si>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</si>
  <si>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</si>
  <si>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</si>
  <si>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</si>
  <si>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</si>
  <si>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</si>
  <si>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</si>
  <si>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</si>
  <si>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</si>
  <si>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</si>
  <si>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</si>
  <si>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</si>
  <si>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</si>
  <si>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</si>
  <si>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</si>
  <si>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</si>
  <si>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</si>
  <si>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</si>
  <si>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</si>
  <si>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</si>
  <si>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</si>
  <si>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</si>
  <si>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</si>
  <si>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</si>
  <si>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</si>
  <si>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</si>
  <si>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</si>
  <si>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</si>
  <si>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</si>
  <si>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</si>
  <si>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</si>
  <si>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</si>
  <si>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</si>
  <si>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</si>
  <si>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</si>
  <si>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</si>
  <si>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</si>
  <si>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</si>
  <si>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</si>
  <si>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</si>
  <si>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</si>
  <si>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</si>
  <si>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</si>
  <si>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</si>
  <si>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</si>
  <si>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</si>
  <si>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</si>
  <si>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</si>
  <si>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</si>
  <si>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</si>
  <si>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</si>
  <si>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</si>
  <si>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</si>
  <si>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</si>
  <si>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</si>
  <si>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</si>
  <si>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</si>
  <si>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</si>
  <si>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</si>
  <si>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</si>
  <si>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</si>
  <si>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</si>
  <si>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</si>
  <si>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</si>
  <si>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</si>
  <si>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</si>
  <si>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</si>
  <si>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</si>
  <si>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</si>
  <si>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</si>
  <si>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</si>
  <si>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</si>
  <si>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</si>
  <si>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</si>
  <si>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</si>
  <si>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</si>
  <si>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</si>
  <si>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</si>
  <si>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</si>
  <si>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</si>
  <si>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</si>
  <si>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</si>
  <si>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</si>
  <si>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</si>
  <si>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</si>
  <si>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</si>
  <si>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</si>
  <si>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</si>
  <si>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</si>
  <si>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</si>
  <si>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</si>
  <si>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</si>
  <si>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</si>
  <si>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</si>
  <si>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</si>
  <si>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</si>
  <si>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</si>
  <si>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</si>
  <si>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</si>
  <si>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</si>
  <si>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</si>
  <si>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</si>
  <si>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</si>
  <si>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</si>
  <si>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</si>
  <si>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</si>
  <si>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</si>
  <si>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</si>
  <si>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</si>
  <si>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</si>
  <si>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</si>
  <si>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</si>
  <si>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</si>
  <si>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</si>
  <si>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</si>
  <si>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</si>
  <si>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</si>
  <si>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</si>
  <si>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</si>
  <si>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</si>
  <si>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</si>
  <si>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</si>
  <si>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</si>
  <si>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</si>
  <si>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</si>
  <si>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</si>
  <si>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</si>
  <si>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</si>
  <si>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</si>
  <si>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</si>
  <si>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</si>
  <si>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</si>
  <si>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</si>
  <si>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</si>
  <si>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</si>
  <si>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</si>
  <si>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</si>
  <si>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</si>
  <si>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</si>
  <si>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</si>
  <si>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</si>
  <si>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</si>
  <si>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</si>
  <si>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</si>
  <si>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</si>
  <si>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</si>
  <si>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</si>
  <si>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</si>
  <si>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</si>
  <si>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</si>
  <si>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</si>
  <si>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</si>
  <si>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</si>
  <si>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</si>
  <si>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</si>
  <si>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</si>
  <si>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</si>
  <si>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</si>
  <si>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</si>
  <si>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</si>
  <si>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</si>
  <si>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</si>
  <si>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</si>
  <si>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</si>
  <si>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</si>
  <si>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</si>
  <si>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</si>
  <si>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</si>
  <si>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</si>
  <si>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</si>
  <si>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</si>
  <si>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</si>
  <si>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</si>
  <si>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</si>
  <si>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</si>
  <si>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</si>
  <si>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</si>
  <si>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</si>
  <si>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</si>
  <si>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</si>
  <si>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</si>
  <si>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</si>
  <si>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</si>
  <si>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</si>
  <si>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</si>
  <si>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</si>
  <si>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</si>
  <si>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</si>
  <si>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</si>
  <si>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</si>
  <si>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</si>
  <si>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</si>
  <si>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</si>
  <si>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</si>
  <si>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</si>
  <si>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</si>
  <si>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</si>
  <si>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</si>
  <si>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</si>
  <si>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</si>
  <si>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</si>
  <si>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</si>
  <si>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</si>
  <si>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</si>
  <si>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</si>
  <si>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</si>
  <si>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</si>
  <si>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</si>
  <si>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</si>
  <si>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</si>
  <si>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</si>
  <si>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</si>
  <si>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</si>
  <si>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</si>
  <si>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</si>
  <si>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</si>
  <si>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</si>
  <si>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</si>
  <si>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</si>
  <si>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</si>
  <si>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</si>
  <si>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</si>
  <si>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</si>
  <si>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</si>
  <si>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</si>
  <si>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</si>
  <si>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</si>
  <si>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</si>
  <si>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</si>
  <si>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</si>
  <si>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</si>
  <si>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</si>
  <si>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</si>
  <si>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</si>
  <si>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</si>
  <si>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</si>
  <si>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</si>
  <si>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</si>
  <si>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</si>
  <si>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</si>
  <si>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</si>
  <si>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</si>
  <si>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</si>
  <si>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</si>
  <si>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</si>
  <si>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</si>
  <si>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</si>
  <si>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r>
      <t>AND returns TRUE only when </t>
    </r>
    <r>
      <rPr>
        <i/>
        <sz val="10"/>
        <color rgb="FF000000"/>
        <rFont val="Calibri Light"/>
        <family val="2"/>
        <scheme val="major"/>
      </rPr>
      <t>all</t>
    </r>
    <r>
      <rPr>
        <sz val="10"/>
        <color rgb="FF000000"/>
        <rFont val="Calibri Light"/>
        <family val="2"/>
        <scheme val="major"/>
      </rPr>
      <t> tests are TRUE. You’ll typically use it inside IF to create a single decision rule.</t>
    </r>
  </si>
  <si>
    <r>
      <t>1. In column </t>
    </r>
    <r>
      <rPr>
        <sz val="10"/>
        <color rgb="FF000000"/>
        <rFont val="Calibri Light"/>
        <family val="2"/>
        <scheme val="major"/>
      </rPr>
      <t>E (Decision), return "Approve" only when both of these are true:</t>
    </r>
  </si>
  <si>
    <r>
      <t>Credit score is </t>
    </r>
    <r>
      <rPr>
        <sz val="10"/>
        <color rgb="FF000000"/>
        <rFont val="Calibri Light"/>
        <family val="2"/>
        <scheme val="major"/>
      </rPr>
      <t>greater than 700</t>
    </r>
  </si>
  <si>
    <r>
      <t>Annual income is </t>
    </r>
    <r>
      <rPr>
        <sz val="10"/>
        <color rgb="FF000000"/>
        <rFont val="Calibri Light"/>
        <family val="2"/>
        <scheme val="major"/>
      </rPr>
      <t>greater than 50,000</t>
    </r>
  </si>
  <si>
    <r>
      <t>2. Otherwise, return </t>
    </r>
    <r>
      <rPr>
        <sz val="10"/>
        <color rgb="FF000000"/>
        <rFont val="Calibri Light"/>
        <family val="2"/>
        <scheme val="major"/>
      </rPr>
      <t>"Decline".</t>
    </r>
  </si>
  <si>
    <r>
      <t>3. Write the formula in </t>
    </r>
    <r>
      <rPr>
        <sz val="10"/>
        <color rgb="FF000000"/>
        <rFont val="Calibri Light"/>
        <family val="2"/>
        <scheme val="major"/>
      </rPr>
      <t>E2, then fill it down through E11.</t>
    </r>
  </si>
  <si>
    <t>Applicant</t>
  </si>
  <si>
    <t>Credit score</t>
  </si>
  <si>
    <t>Annual income ($)</t>
  </si>
  <si>
    <t>Loan amount ($)</t>
  </si>
  <si>
    <t>Decision</t>
  </si>
  <si>
    <t>Noah Patel</t>
  </si>
  <si>
    <t>Ava Rodriguez</t>
  </si>
  <si>
    <t>Ethan Williams</t>
  </si>
  <si>
    <t>Sofia Garcia</t>
  </si>
  <si>
    <t>Lucas Brown</t>
  </si>
  <si>
    <t>Emma Davis</t>
  </si>
  <si>
    <t>Olivia Martin</t>
  </si>
  <si>
    <t>Jack Thompson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</si>
</sst>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6"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
      <i/>
      <sz val="10"/>
      <color rgb="FF000000"/>
      <name val="Calibri Light"/>
      <family val="2"/>
      <scheme val="major"/>
    </font>
    <font>
      <sz val="10"/>
      <color rgb="FF000000"/>
      <name val="Calibri Light"/>
      <family val="2"/>
      <scheme val="major"/>
    </font>
  </fonts>
  <fills count="22">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53">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1" fillId="6" borderId="0" xfId="0" applyFont="1" applyFill="1" applyAlignment="1">
      <alignment vertical="center" wrapText="1"/>
    </xf>
    <xf numFmtId="0" fontId="2" fillId="0" borderId="0" xfId="0" applyFont="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5" borderId="0" xfId="0" applyFont="1" applyFill="1" applyAlignment="1">
      <alignment horizontal="left" vertical="top" wrapText="1"/>
    </xf>
    <xf numFmtId="0" fontId="1" fillId="18" borderId="0" xfId="0" applyFont="1" applyFill="1" applyAlignment="1">
      <alignment horizontal="left" vertical="top" wrapText="1"/>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xf>
    <xf numFmtId="0" fontId="1" fillId="20" borderId="0" xfId="0" applyFont="1" applyFill="1" applyAlignment="1">
      <alignment horizontal="left" vertical="top" wrapText="1"/>
    </xf>
    <xf numFmtId="0" fontId="1" fillId="21" borderId="0" xfId="0" applyFont="1" applyFill="1" applyAlignment="1">
      <alignment horizontal="left" vertical="top" wrapText="1"/>
    </xf>
    <xf numFmtId="0" fontId="1" fillId="19" borderId="0" xfId="0" applyFont="1" applyFill="1" applyAlignment="1">
      <alignment vertical="center" wrapText="1"/>
    </xf>
    <xf numFmtId="0" fontId="1"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40"/>
  <sheetViews>
    <sheetView tabSelected="1" topLeftCell="A621" workbookViewId="0">
      <selection activeCell="A634" sqref="A634"/>
    </sheetView>
  </sheetViews>
  <sheetFormatPr defaultRowHeight="13.8" x14ac:dyDescent="0.3"/>
  <cols>
    <col min="1" max="1" width="149.88671875" style="1" bestFit="1" customWidth="1"/>
    <col min="2" max="2" width="30.109375" style="1" customWidth="1"/>
    <col min="3" max="3" width="43.33203125" style="1" customWidth="1"/>
    <col min="4"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3" t="s">
        <v>0</v>
      </c>
      <c r="B1" s="24"/>
      <c r="C1" s="24"/>
      <c r="D1" s="24"/>
      <c r="E1" s="24"/>
      <c r="F1" s="24"/>
      <c r="G1" s="24"/>
      <c r="H1" s="24"/>
      <c r="I1" s="24"/>
      <c r="J1" s="24"/>
    </row>
    <row r="3" spans="1:23" x14ac:dyDescent="0.3">
      <c r="B3" s="1">
        <f>32+57</f>
        <v>89</v>
      </c>
    </row>
    <row r="6" spans="1:23" x14ac:dyDescent="0.3">
      <c r="A6" s="25"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5" t="s">
        <v>28</v>
      </c>
      <c r="B16" s="26"/>
      <c r="C16" s="26"/>
      <c r="D16" s="26"/>
      <c r="E16" s="26"/>
      <c r="F16" s="26"/>
      <c r="G16" s="26"/>
      <c r="H16" s="26"/>
      <c r="I16" s="26"/>
      <c r="J16" s="26"/>
      <c r="K16" s="26"/>
      <c r="L16" s="26"/>
      <c r="M16" s="26"/>
      <c r="N16" s="26"/>
      <c r="O16" s="26"/>
      <c r="P16" s="26"/>
      <c r="Q16" s="26"/>
      <c r="R16" s="26"/>
      <c r="S16" s="26"/>
      <c r="T16" s="26"/>
      <c r="U16" s="26"/>
      <c r="V16" s="26"/>
      <c r="W16" s="26"/>
    </row>
    <row r="18" spans="1:23" x14ac:dyDescent="0.3">
      <c r="A18" s="41">
        <v>7</v>
      </c>
    </row>
    <row r="19" spans="1:23" x14ac:dyDescent="0.3">
      <c r="A19" s="41">
        <v>18</v>
      </c>
    </row>
    <row r="20" spans="1:23" x14ac:dyDescent="0.3">
      <c r="A20" s="41">
        <v>35</v>
      </c>
    </row>
    <row r="21" spans="1:23" x14ac:dyDescent="0.3">
      <c r="A21" s="41">
        <v>1</v>
      </c>
    </row>
    <row r="22" spans="1:23" x14ac:dyDescent="0.3">
      <c r="A22" s="41">
        <v>9</v>
      </c>
    </row>
    <row r="23" spans="1:23" x14ac:dyDescent="0.3">
      <c r="A23" s="41"/>
    </row>
    <row r="24" spans="1:23" x14ac:dyDescent="0.3">
      <c r="A24" s="4">
        <f>AVERAGE(A18:A22)</f>
        <v>14</v>
      </c>
    </row>
    <row r="26" spans="1:23" s="5" customFormat="1" x14ac:dyDescent="0.3">
      <c r="A26" s="25" t="s">
        <v>212</v>
      </c>
      <c r="B26" s="26"/>
      <c r="C26" s="26"/>
      <c r="D26" s="26"/>
      <c r="E26" s="26"/>
      <c r="F26" s="26"/>
      <c r="G26" s="26"/>
      <c r="H26" s="26"/>
      <c r="I26" s="26"/>
      <c r="J26" s="26"/>
      <c r="K26" s="26"/>
      <c r="L26" s="26"/>
      <c r="M26" s="26"/>
      <c r="N26" s="26"/>
      <c r="O26" s="26"/>
      <c r="P26" s="26"/>
      <c r="Q26" s="26"/>
      <c r="R26" s="26"/>
      <c r="S26" s="26"/>
      <c r="T26" s="26"/>
      <c r="U26" s="26"/>
      <c r="V26" s="26"/>
      <c r="W26" s="26"/>
    </row>
    <row r="27" spans="1:23" x14ac:dyDescent="0.3">
      <c r="A27" s="6" t="s">
        <v>7</v>
      </c>
      <c r="B27" s="6" t="s">
        <v>8</v>
      </c>
      <c r="C27" s="6" t="s">
        <v>9</v>
      </c>
      <c r="D27" s="6" t="s">
        <v>10</v>
      </c>
    </row>
    <row r="28" spans="1:23" x14ac:dyDescent="0.3">
      <c r="A28" s="41" t="s">
        <v>11</v>
      </c>
      <c r="B28" s="7">
        <v>3</v>
      </c>
      <c r="C28" s="7">
        <v>25</v>
      </c>
      <c r="D28" s="8">
        <f>B28*C28</f>
        <v>75</v>
      </c>
    </row>
    <row r="29" spans="1:23" x14ac:dyDescent="0.3">
      <c r="A29" s="41" t="s">
        <v>12</v>
      </c>
      <c r="B29" s="7">
        <v>5</v>
      </c>
      <c r="C29" s="7">
        <v>18</v>
      </c>
      <c r="D29" s="8">
        <f t="shared" ref="D29:D33" si="0">B29*C29</f>
        <v>90</v>
      </c>
    </row>
    <row r="30" spans="1:23" x14ac:dyDescent="0.3">
      <c r="A30" s="41" t="s">
        <v>13</v>
      </c>
      <c r="B30" s="7">
        <v>10</v>
      </c>
      <c r="C30" s="7">
        <v>9</v>
      </c>
      <c r="D30" s="8">
        <f t="shared" si="0"/>
        <v>90</v>
      </c>
    </row>
    <row r="31" spans="1:23" x14ac:dyDescent="0.3">
      <c r="A31" s="41" t="s">
        <v>14</v>
      </c>
      <c r="B31" s="7">
        <v>2</v>
      </c>
      <c r="C31" s="7">
        <v>42</v>
      </c>
      <c r="D31" s="8">
        <f t="shared" si="0"/>
        <v>84</v>
      </c>
    </row>
    <row r="32" spans="1:23" x14ac:dyDescent="0.3">
      <c r="A32" s="41" t="s">
        <v>15</v>
      </c>
      <c r="B32" s="7">
        <v>12</v>
      </c>
      <c r="C32" s="7">
        <v>6</v>
      </c>
      <c r="D32" s="8">
        <f t="shared" si="0"/>
        <v>72</v>
      </c>
    </row>
    <row r="33" spans="1:4" x14ac:dyDescent="0.3">
      <c r="A33" s="41" t="s">
        <v>16</v>
      </c>
      <c r="B33" s="7">
        <v>4</v>
      </c>
      <c r="C33" s="7">
        <v>15</v>
      </c>
      <c r="D33" s="8">
        <f t="shared" si="0"/>
        <v>60</v>
      </c>
    </row>
    <row r="34" spans="1:4" x14ac:dyDescent="0.3">
      <c r="A34" s="41"/>
      <c r="B34" s="7"/>
      <c r="C34" s="7"/>
      <c r="D34" s="8"/>
    </row>
    <row r="35" spans="1:4" x14ac:dyDescent="0.3">
      <c r="A35" s="25" t="s">
        <v>215</v>
      </c>
    </row>
    <row r="36" spans="1:4" ht="179.4" x14ac:dyDescent="0.3">
      <c r="A36" s="2" t="s">
        <v>214</v>
      </c>
    </row>
    <row r="38" spans="1:4" x14ac:dyDescent="0.3">
      <c r="A38" s="9" t="s">
        <v>17</v>
      </c>
      <c r="B38" s="9" t="s">
        <v>18</v>
      </c>
      <c r="C38" s="9" t="s">
        <v>19</v>
      </c>
    </row>
    <row r="39" spans="1:4" x14ac:dyDescent="0.3">
      <c r="A39" s="41" t="s">
        <v>20</v>
      </c>
      <c r="B39" s="10">
        <v>1250</v>
      </c>
      <c r="C39" s="11">
        <f>VALUE(B39)</f>
        <v>1250</v>
      </c>
    </row>
    <row r="40" spans="1:4" x14ac:dyDescent="0.3">
      <c r="A40" s="41" t="s">
        <v>21</v>
      </c>
      <c r="B40" s="10">
        <v>879.5</v>
      </c>
      <c r="C40" s="11">
        <f t="shared" ref="C40:C44" si="1">VALUE(B40)</f>
        <v>879.5</v>
      </c>
    </row>
    <row r="41" spans="1:4" x14ac:dyDescent="0.3">
      <c r="A41" s="41" t="s">
        <v>22</v>
      </c>
      <c r="B41" s="10">
        <v>3200</v>
      </c>
      <c r="C41" s="11">
        <f t="shared" si="1"/>
        <v>3200</v>
      </c>
    </row>
    <row r="42" spans="1:4" x14ac:dyDescent="0.3">
      <c r="A42" s="41" t="s">
        <v>23</v>
      </c>
      <c r="B42" s="10">
        <v>415.75</v>
      </c>
      <c r="C42" s="11">
        <f t="shared" si="1"/>
        <v>415.75</v>
      </c>
    </row>
    <row r="43" spans="1:4" x14ac:dyDescent="0.3">
      <c r="A43" s="41" t="s">
        <v>24</v>
      </c>
      <c r="B43" s="10">
        <v>999</v>
      </c>
      <c r="C43" s="11">
        <f t="shared" si="1"/>
        <v>999</v>
      </c>
    </row>
    <row r="44" spans="1:4" x14ac:dyDescent="0.3">
      <c r="A44" s="41" t="s">
        <v>25</v>
      </c>
      <c r="B44" s="10">
        <v>150.25</v>
      </c>
      <c r="C44" s="11">
        <f t="shared" si="1"/>
        <v>150.25</v>
      </c>
    </row>
    <row r="45" spans="1:4" x14ac:dyDescent="0.3">
      <c r="A45" s="41" t="s">
        <v>26</v>
      </c>
      <c r="B45" s="41">
        <v>0</v>
      </c>
      <c r="C45" s="12">
        <f>SUM(C39:C44)</f>
        <v>6894.5</v>
      </c>
    </row>
    <row r="47" spans="1:4" x14ac:dyDescent="0.3">
      <c r="A47" s="27" t="s">
        <v>27</v>
      </c>
    </row>
    <row r="48" spans="1:4" ht="82.8" x14ac:dyDescent="0.3">
      <c r="A48" s="2" t="s">
        <v>211</v>
      </c>
    </row>
    <row r="49" spans="1:4" x14ac:dyDescent="0.3">
      <c r="A49" s="2"/>
    </row>
    <row r="50" spans="1:4" x14ac:dyDescent="0.3">
      <c r="A50" s="9" t="s">
        <v>29</v>
      </c>
      <c r="B50" s="9" t="s">
        <v>30</v>
      </c>
      <c r="C50" s="9" t="s">
        <v>31</v>
      </c>
      <c r="D50" s="9" t="s">
        <v>32</v>
      </c>
    </row>
    <row r="51" spans="1:4" x14ac:dyDescent="0.3">
      <c r="A51" s="41" t="s">
        <v>33</v>
      </c>
      <c r="B51" s="13">
        <v>7.8</v>
      </c>
      <c r="C51" s="4">
        <f>INT(B51)</f>
        <v>7</v>
      </c>
      <c r="D51" s="4">
        <f>TRUNC(B51)</f>
        <v>7</v>
      </c>
    </row>
    <row r="52" spans="1:4" x14ac:dyDescent="0.3">
      <c r="A52" s="41" t="s">
        <v>34</v>
      </c>
      <c r="B52" s="13">
        <v>15.23</v>
      </c>
      <c r="C52" s="4">
        <f t="shared" ref="C52:C61" si="2">INT(B52)</f>
        <v>15</v>
      </c>
      <c r="D52" s="4">
        <f t="shared" ref="D52:D61" si="3">TRUNC(B52)</f>
        <v>15</v>
      </c>
    </row>
    <row r="53" spans="1:4" x14ac:dyDescent="0.3">
      <c r="A53" s="41" t="s">
        <v>35</v>
      </c>
      <c r="B53" s="13">
        <v>99.9</v>
      </c>
      <c r="C53" s="4">
        <f t="shared" si="2"/>
        <v>99</v>
      </c>
      <c r="D53" s="4">
        <f t="shared" si="3"/>
        <v>99</v>
      </c>
    </row>
    <row r="54" spans="1:4" x14ac:dyDescent="0.3">
      <c r="A54" s="41" t="s">
        <v>36</v>
      </c>
      <c r="B54" s="13">
        <v>-3.4</v>
      </c>
      <c r="C54" s="4">
        <f t="shared" si="2"/>
        <v>-4</v>
      </c>
      <c r="D54" s="4">
        <f t="shared" si="3"/>
        <v>-3</v>
      </c>
    </row>
    <row r="55" spans="1:4" x14ac:dyDescent="0.3">
      <c r="A55" s="41" t="s">
        <v>37</v>
      </c>
      <c r="B55" s="13">
        <v>-12.75</v>
      </c>
      <c r="C55" s="4">
        <f t="shared" si="2"/>
        <v>-13</v>
      </c>
      <c r="D55" s="4">
        <f t="shared" si="3"/>
        <v>-12</v>
      </c>
    </row>
    <row r="56" spans="1:4" x14ac:dyDescent="0.3">
      <c r="A56" s="41" t="s">
        <v>38</v>
      </c>
      <c r="B56" s="13">
        <v>-0.62</v>
      </c>
      <c r="C56" s="4">
        <f t="shared" si="2"/>
        <v>-1</v>
      </c>
      <c r="D56" s="4">
        <f t="shared" si="3"/>
        <v>0</v>
      </c>
    </row>
    <row r="57" spans="1:4" x14ac:dyDescent="0.3">
      <c r="A57" s="41" t="s">
        <v>39</v>
      </c>
      <c r="B57" s="13">
        <v>22.49</v>
      </c>
      <c r="C57" s="4">
        <f t="shared" si="2"/>
        <v>22</v>
      </c>
      <c r="D57" s="4">
        <f t="shared" si="3"/>
        <v>22</v>
      </c>
    </row>
    <row r="58" spans="1:4" x14ac:dyDescent="0.3">
      <c r="A58" s="41" t="s">
        <v>40</v>
      </c>
      <c r="B58" s="13">
        <v>-8.01</v>
      </c>
      <c r="C58" s="4">
        <f t="shared" si="2"/>
        <v>-9</v>
      </c>
      <c r="D58" s="4">
        <f t="shared" si="3"/>
        <v>-8</v>
      </c>
    </row>
    <row r="59" spans="1:4" x14ac:dyDescent="0.3">
      <c r="A59" s="41" t="s">
        <v>41</v>
      </c>
      <c r="B59" s="13">
        <v>4.99</v>
      </c>
      <c r="C59" s="4">
        <f t="shared" si="2"/>
        <v>4</v>
      </c>
      <c r="D59" s="4">
        <f t="shared" si="3"/>
        <v>4</v>
      </c>
    </row>
    <row r="60" spans="1:4" x14ac:dyDescent="0.3">
      <c r="A60" s="41" t="s">
        <v>42</v>
      </c>
      <c r="B60" s="13">
        <v>11.58</v>
      </c>
      <c r="C60" s="4">
        <f t="shared" si="2"/>
        <v>11</v>
      </c>
      <c r="D60" s="4">
        <f t="shared" si="3"/>
        <v>11</v>
      </c>
    </row>
    <row r="61" spans="1:4" x14ac:dyDescent="0.3">
      <c r="A61" s="41" t="s">
        <v>43</v>
      </c>
      <c r="B61" s="13">
        <v>-5.2</v>
      </c>
      <c r="C61" s="4">
        <f t="shared" si="2"/>
        <v>-6</v>
      </c>
      <c r="D61" s="4">
        <f t="shared" si="3"/>
        <v>-5</v>
      </c>
    </row>
    <row r="63" spans="1:4" x14ac:dyDescent="0.3">
      <c r="A63" s="27" t="s">
        <v>44</v>
      </c>
    </row>
    <row r="64" spans="1:4" ht="82.8" x14ac:dyDescent="0.3">
      <c r="A64" s="2" t="s">
        <v>45</v>
      </c>
    </row>
    <row r="65" spans="1:4" x14ac:dyDescent="0.3">
      <c r="A65" s="2"/>
    </row>
    <row r="66" spans="1:4" x14ac:dyDescent="0.3">
      <c r="A66" s="6" t="s">
        <v>46</v>
      </c>
      <c r="B66" s="6" t="s">
        <v>47</v>
      </c>
      <c r="C66" s="6" t="s">
        <v>8</v>
      </c>
      <c r="D66" s="6" t="s">
        <v>48</v>
      </c>
    </row>
    <row r="67" spans="1:4" x14ac:dyDescent="0.3">
      <c r="A67" s="41" t="s">
        <v>49</v>
      </c>
      <c r="B67" s="41" t="s">
        <v>50</v>
      </c>
      <c r="C67" s="41">
        <v>48</v>
      </c>
      <c r="D67" s="41" t="s">
        <v>51</v>
      </c>
    </row>
    <row r="68" spans="1:4" x14ac:dyDescent="0.3">
      <c r="A68" s="41" t="s">
        <v>52</v>
      </c>
      <c r="B68" s="41" t="s">
        <v>53</v>
      </c>
      <c r="C68" s="41">
        <v>15</v>
      </c>
      <c r="D68" s="41" t="s">
        <v>54</v>
      </c>
    </row>
    <row r="69" spans="1:4" x14ac:dyDescent="0.3">
      <c r="A69" s="41" t="s">
        <v>55</v>
      </c>
      <c r="B69" s="41" t="s">
        <v>56</v>
      </c>
      <c r="C69" s="41">
        <v>22</v>
      </c>
      <c r="D69" s="41" t="s">
        <v>57</v>
      </c>
    </row>
    <row r="70" spans="1:4" x14ac:dyDescent="0.3">
      <c r="A70" s="41" t="s">
        <v>58</v>
      </c>
      <c r="B70" s="41" t="s">
        <v>56</v>
      </c>
      <c r="C70" s="41">
        <v>10</v>
      </c>
      <c r="D70" s="41" t="s">
        <v>59</v>
      </c>
    </row>
    <row r="71" spans="1:4" x14ac:dyDescent="0.3">
      <c r="A71" s="41" t="s">
        <v>60</v>
      </c>
      <c r="B71" s="41" t="s">
        <v>61</v>
      </c>
      <c r="C71" s="41"/>
      <c r="D71" s="41" t="s">
        <v>62</v>
      </c>
    </row>
    <row r="72" spans="1:4" x14ac:dyDescent="0.3">
      <c r="A72" s="41" t="s">
        <v>63</v>
      </c>
      <c r="B72" s="41" t="s">
        <v>64</v>
      </c>
      <c r="C72" s="41">
        <v>5</v>
      </c>
      <c r="D72" s="41" t="s">
        <v>65</v>
      </c>
    </row>
    <row r="73" spans="1:4" x14ac:dyDescent="0.3">
      <c r="A73" s="41" t="s">
        <v>66</v>
      </c>
      <c r="B73" s="41" t="s">
        <v>67</v>
      </c>
      <c r="C73" s="41">
        <v>2</v>
      </c>
      <c r="D73" s="41" t="s">
        <v>68</v>
      </c>
    </row>
    <row r="74" spans="1:4" x14ac:dyDescent="0.3">
      <c r="A74" s="13" t="s">
        <v>69</v>
      </c>
      <c r="B74" s="4">
        <f>COUNTA(B67:B73)</f>
        <v>7</v>
      </c>
      <c r="C74" s="13" t="s">
        <v>70</v>
      </c>
      <c r="D74" s="4">
        <f>COUNT(C67:C73)</f>
        <v>6</v>
      </c>
    </row>
    <row r="76" spans="1:4" x14ac:dyDescent="0.3">
      <c r="A76" s="27" t="s">
        <v>71</v>
      </c>
    </row>
    <row r="77" spans="1:4" ht="69" x14ac:dyDescent="0.3">
      <c r="A77" s="2" t="s">
        <v>72</v>
      </c>
    </row>
    <row r="78" spans="1:4" x14ac:dyDescent="0.3">
      <c r="A78" s="6" t="s">
        <v>73</v>
      </c>
      <c r="B78" s="6" t="s">
        <v>74</v>
      </c>
    </row>
    <row r="79" spans="1:4" x14ac:dyDescent="0.3">
      <c r="A79" s="41" t="s">
        <v>75</v>
      </c>
      <c r="B79" s="41">
        <v>18500</v>
      </c>
    </row>
    <row r="80" spans="1:4" x14ac:dyDescent="0.3">
      <c r="A80" s="41" t="s">
        <v>76</v>
      </c>
      <c r="B80" s="41">
        <v>21250</v>
      </c>
    </row>
    <row r="81" spans="1:3" x14ac:dyDescent="0.3">
      <c r="A81" s="41" t="s">
        <v>77</v>
      </c>
      <c r="B81" s="41">
        <v>19800</v>
      </c>
    </row>
    <row r="82" spans="1:3" x14ac:dyDescent="0.3">
      <c r="A82" s="41" t="s">
        <v>78</v>
      </c>
      <c r="B82" s="41">
        <v>25000</v>
      </c>
    </row>
    <row r="83" spans="1:3" x14ac:dyDescent="0.3">
      <c r="A83" s="41" t="s">
        <v>79</v>
      </c>
      <c r="B83" s="41">
        <v>23750</v>
      </c>
    </row>
    <row r="84" spans="1:3" x14ac:dyDescent="0.3">
      <c r="A84" s="41" t="s">
        <v>80</v>
      </c>
      <c r="B84" s="41">
        <v>22100</v>
      </c>
    </row>
    <row r="85" spans="1:3" x14ac:dyDescent="0.3">
      <c r="A85" s="41" t="s">
        <v>81</v>
      </c>
      <c r="B85" s="41">
        <v>26400</v>
      </c>
    </row>
    <row r="86" spans="1:3" x14ac:dyDescent="0.3">
      <c r="A86" s="41" t="s">
        <v>82</v>
      </c>
      <c r="B86" s="41">
        <v>24300</v>
      </c>
    </row>
    <row r="87" spans="1:3" x14ac:dyDescent="0.3">
      <c r="A87" s="41" t="s">
        <v>83</v>
      </c>
      <c r="B87" s="4">
        <v>26400</v>
      </c>
    </row>
    <row r="89" spans="1:3" x14ac:dyDescent="0.3">
      <c r="A89" s="27" t="s">
        <v>84</v>
      </c>
    </row>
    <row r="90" spans="1:3" ht="55.2" x14ac:dyDescent="0.3">
      <c r="A90" s="2" t="s">
        <v>85</v>
      </c>
    </row>
    <row r="91" spans="1:3" x14ac:dyDescent="0.3">
      <c r="A91" s="2"/>
    </row>
    <row r="92" spans="1:3" x14ac:dyDescent="0.3">
      <c r="A92" s="6" t="s">
        <v>86</v>
      </c>
      <c r="B92" s="6" t="s">
        <v>87</v>
      </c>
      <c r="C92" s="6" t="s">
        <v>88</v>
      </c>
    </row>
    <row r="93" spans="1:3" x14ac:dyDescent="0.3">
      <c r="A93" s="41" t="s">
        <v>89</v>
      </c>
      <c r="B93" s="41" t="s">
        <v>90</v>
      </c>
      <c r="C93" s="14">
        <v>425</v>
      </c>
    </row>
    <row r="94" spans="1:3" x14ac:dyDescent="0.3">
      <c r="A94" s="41" t="s">
        <v>91</v>
      </c>
      <c r="B94" s="41" t="s">
        <v>92</v>
      </c>
      <c r="C94" s="14">
        <v>980</v>
      </c>
    </row>
    <row r="95" spans="1:3" x14ac:dyDescent="0.3">
      <c r="A95" s="41" t="s">
        <v>93</v>
      </c>
      <c r="B95" s="41" t="s">
        <v>94</v>
      </c>
      <c r="C95" s="14">
        <v>160</v>
      </c>
    </row>
    <row r="96" spans="1:3" x14ac:dyDescent="0.3">
      <c r="A96" s="41" t="s">
        <v>95</v>
      </c>
      <c r="B96" s="41" t="s">
        <v>96</v>
      </c>
      <c r="C96" s="14">
        <v>350</v>
      </c>
    </row>
    <row r="97" spans="1:4" x14ac:dyDescent="0.3">
      <c r="A97" s="41" t="s">
        <v>97</v>
      </c>
      <c r="B97" s="41" t="s">
        <v>98</v>
      </c>
      <c r="C97" s="14">
        <v>1200</v>
      </c>
    </row>
    <row r="98" spans="1:4" x14ac:dyDescent="0.3">
      <c r="A98" s="41" t="s">
        <v>99</v>
      </c>
      <c r="B98" s="41" t="s">
        <v>90</v>
      </c>
      <c r="C98" s="14">
        <v>95</v>
      </c>
    </row>
    <row r="99" spans="1:4" x14ac:dyDescent="0.3">
      <c r="A99" s="41" t="s">
        <v>100</v>
      </c>
      <c r="B99" s="41"/>
      <c r="C99" s="8">
        <f>MIN(C93:C98)</f>
        <v>95</v>
      </c>
    </row>
    <row r="101" spans="1:4" x14ac:dyDescent="0.3">
      <c r="A101" s="27" t="s">
        <v>101</v>
      </c>
    </row>
    <row r="102" spans="1:4" x14ac:dyDescent="0.3">
      <c r="A102" s="15" t="s">
        <v>102</v>
      </c>
    </row>
    <row r="103" spans="1:4" ht="110.4" x14ac:dyDescent="0.3">
      <c r="A103" s="2" t="s">
        <v>103</v>
      </c>
    </row>
    <row r="104" spans="1:4" x14ac:dyDescent="0.3">
      <c r="A104" s="9" t="s">
        <v>104</v>
      </c>
      <c r="B104" s="9" t="s">
        <v>105</v>
      </c>
      <c r="C104" s="9" t="s">
        <v>47</v>
      </c>
      <c r="D104" s="9" t="s">
        <v>88</v>
      </c>
    </row>
    <row r="105" spans="1:4" x14ac:dyDescent="0.3">
      <c r="A105" s="41">
        <v>1001</v>
      </c>
      <c r="B105" s="16">
        <v>46025</v>
      </c>
      <c r="C105" s="41" t="s">
        <v>106</v>
      </c>
      <c r="D105" s="41">
        <v>249.99</v>
      </c>
    </row>
    <row r="106" spans="1:4" x14ac:dyDescent="0.3">
      <c r="A106" s="41">
        <v>1002</v>
      </c>
      <c r="B106" s="16">
        <v>46026</v>
      </c>
      <c r="C106" s="41" t="s">
        <v>107</v>
      </c>
      <c r="D106" s="41">
        <v>39.5</v>
      </c>
    </row>
    <row r="107" spans="1:4" x14ac:dyDescent="0.3">
      <c r="A107" s="41">
        <v>1003</v>
      </c>
      <c r="B107" s="16">
        <v>46027</v>
      </c>
      <c r="C107" s="41" t="s">
        <v>106</v>
      </c>
      <c r="D107" s="41">
        <v>89</v>
      </c>
    </row>
    <row r="108" spans="1:4" x14ac:dyDescent="0.3">
      <c r="A108" s="41">
        <v>1004</v>
      </c>
      <c r="B108" s="16">
        <v>46027</v>
      </c>
      <c r="C108" s="41" t="s">
        <v>108</v>
      </c>
      <c r="D108" s="41">
        <v>59.99</v>
      </c>
    </row>
    <row r="109" spans="1:4" x14ac:dyDescent="0.3">
      <c r="A109" s="41">
        <v>1005</v>
      </c>
      <c r="B109" s="16">
        <v>46028</v>
      </c>
      <c r="C109" s="41" t="s">
        <v>106</v>
      </c>
      <c r="D109" s="41">
        <v>129</v>
      </c>
    </row>
    <row r="110" spans="1:4" x14ac:dyDescent="0.3">
      <c r="A110" s="41">
        <v>1006</v>
      </c>
      <c r="B110" s="16">
        <v>46028</v>
      </c>
      <c r="C110" s="41" t="s">
        <v>109</v>
      </c>
      <c r="D110" s="41">
        <v>24.99</v>
      </c>
    </row>
    <row r="111" spans="1:4" x14ac:dyDescent="0.3">
      <c r="A111" s="41">
        <v>1007</v>
      </c>
      <c r="B111" s="16">
        <v>46029</v>
      </c>
      <c r="C111" s="41" t="s">
        <v>107</v>
      </c>
      <c r="D111" s="41">
        <v>75</v>
      </c>
    </row>
    <row r="112" spans="1:4" x14ac:dyDescent="0.3">
      <c r="A112" s="41"/>
      <c r="B112" s="41"/>
      <c r="C112" s="41" t="s">
        <v>110</v>
      </c>
      <c r="D112" s="4">
        <v>3</v>
      </c>
    </row>
    <row r="114" spans="1:3" x14ac:dyDescent="0.3">
      <c r="A114" s="27" t="s">
        <v>111</v>
      </c>
    </row>
    <row r="115" spans="1:3" ht="124.2" x14ac:dyDescent="0.3">
      <c r="A115" s="2" t="s">
        <v>112</v>
      </c>
    </row>
    <row r="116" spans="1:3" x14ac:dyDescent="0.3">
      <c r="A116" s="9" t="s">
        <v>113</v>
      </c>
      <c r="B116" s="9" t="s">
        <v>87</v>
      </c>
      <c r="C116" s="9" t="s">
        <v>114</v>
      </c>
    </row>
    <row r="117" spans="1:3" x14ac:dyDescent="0.3">
      <c r="A117" s="41" t="s">
        <v>115</v>
      </c>
      <c r="B117" s="41" t="s">
        <v>116</v>
      </c>
      <c r="C117" s="7">
        <v>48000</v>
      </c>
    </row>
    <row r="118" spans="1:3" x14ac:dyDescent="0.3">
      <c r="A118" s="41" t="s">
        <v>117</v>
      </c>
      <c r="B118" s="41" t="s">
        <v>90</v>
      </c>
      <c r="C118" s="7">
        <v>52000</v>
      </c>
    </row>
    <row r="119" spans="1:3" x14ac:dyDescent="0.3">
      <c r="A119" s="41" t="s">
        <v>118</v>
      </c>
      <c r="B119" s="41" t="s">
        <v>119</v>
      </c>
      <c r="C119" s="7">
        <v>56000</v>
      </c>
    </row>
    <row r="120" spans="1:3" x14ac:dyDescent="0.3">
      <c r="A120" s="41" t="s">
        <v>120</v>
      </c>
      <c r="B120" s="41" t="s">
        <v>92</v>
      </c>
      <c r="C120" s="7">
        <v>59000</v>
      </c>
    </row>
    <row r="121" spans="1:3" x14ac:dyDescent="0.3">
      <c r="A121" s="41" t="s">
        <v>121</v>
      </c>
      <c r="B121" s="41" t="s">
        <v>96</v>
      </c>
      <c r="C121" s="7">
        <v>62000</v>
      </c>
    </row>
    <row r="122" spans="1:3" x14ac:dyDescent="0.3">
      <c r="A122" s="41" t="s">
        <v>122</v>
      </c>
      <c r="B122" s="41" t="s">
        <v>123</v>
      </c>
      <c r="C122" s="7">
        <v>68000</v>
      </c>
    </row>
    <row r="123" spans="1:3" x14ac:dyDescent="0.3">
      <c r="A123" s="41" t="s">
        <v>124</v>
      </c>
      <c r="B123" s="41" t="s">
        <v>46</v>
      </c>
      <c r="C123" s="7">
        <v>74000</v>
      </c>
    </row>
    <row r="124" spans="1:3" x14ac:dyDescent="0.3">
      <c r="A124" s="41" t="s">
        <v>125</v>
      </c>
      <c r="B124" s="41" t="s">
        <v>126</v>
      </c>
      <c r="C124" s="7">
        <v>150000</v>
      </c>
    </row>
    <row r="125" spans="1:3" x14ac:dyDescent="0.3">
      <c r="A125" s="41" t="s">
        <v>127</v>
      </c>
      <c r="B125" s="8">
        <f>MEDIAN(C117:C124)</f>
        <v>60500</v>
      </c>
      <c r="C125" s="41"/>
    </row>
    <row r="126" spans="1:3" x14ac:dyDescent="0.3">
      <c r="A126" s="41" t="s">
        <v>128</v>
      </c>
      <c r="B126" s="41" t="s">
        <v>129</v>
      </c>
      <c r="C126" s="41"/>
    </row>
    <row r="127" spans="1:3" x14ac:dyDescent="0.3">
      <c r="A127" s="41"/>
    </row>
    <row r="128" spans="1:3" x14ac:dyDescent="0.3">
      <c r="A128" s="28" t="s">
        <v>130</v>
      </c>
    </row>
    <row r="129" spans="1:4" ht="179.4" x14ac:dyDescent="0.3">
      <c r="A129" s="41" t="s">
        <v>131</v>
      </c>
    </row>
    <row r="130" spans="1:4" x14ac:dyDescent="0.3">
      <c r="A130" s="41"/>
    </row>
    <row r="131" spans="1:4" x14ac:dyDescent="0.3">
      <c r="A131" s="9" t="s">
        <v>132</v>
      </c>
      <c r="B131" s="41"/>
      <c r="C131" s="41"/>
    </row>
    <row r="132" spans="1:4" x14ac:dyDescent="0.3">
      <c r="A132" s="17">
        <v>8.2500000000000004E-2</v>
      </c>
      <c r="B132" s="41"/>
      <c r="C132" s="41"/>
    </row>
    <row r="133" spans="1:4" x14ac:dyDescent="0.3">
      <c r="A133" s="41"/>
      <c r="B133" s="41"/>
      <c r="C133" s="41"/>
    </row>
    <row r="134" spans="1:4" x14ac:dyDescent="0.3">
      <c r="A134" s="9" t="s">
        <v>46</v>
      </c>
      <c r="B134" s="9" t="s">
        <v>9</v>
      </c>
      <c r="C134" s="9" t="s">
        <v>138</v>
      </c>
      <c r="D134" s="9" t="s">
        <v>137</v>
      </c>
    </row>
    <row r="135" spans="1:4" x14ac:dyDescent="0.3">
      <c r="A135" s="41" t="s">
        <v>13</v>
      </c>
      <c r="B135" s="41">
        <v>24.99</v>
      </c>
      <c r="C135" s="4">
        <f>B135*(1+A132)</f>
        <v>27.051674999999999</v>
      </c>
      <c r="D135" s="4">
        <f>B135*(1+$A$132)</f>
        <v>27.051674999999999</v>
      </c>
    </row>
    <row r="136" spans="1:4" x14ac:dyDescent="0.3">
      <c r="A136" s="41" t="s">
        <v>133</v>
      </c>
      <c r="B136" s="41">
        <v>15.5</v>
      </c>
      <c r="C136" s="4">
        <f>B136*(1+A133)</f>
        <v>15.5</v>
      </c>
      <c r="D136" s="4">
        <f t="shared" ref="D136:D139" si="4">B136*(1+$A$132)</f>
        <v>16.778749999999999</v>
      </c>
    </row>
    <row r="137" spans="1:4" x14ac:dyDescent="0.3">
      <c r="A137" s="41" t="s">
        <v>134</v>
      </c>
      <c r="B137" s="41">
        <v>89</v>
      </c>
      <c r="C137" s="4" t="e">
        <f>B137*(1+A134)</f>
        <v>#VALUE!</v>
      </c>
      <c r="D137" s="4">
        <f t="shared" si="4"/>
        <v>96.342500000000001</v>
      </c>
    </row>
    <row r="138" spans="1:4" x14ac:dyDescent="0.3">
      <c r="A138" s="41" t="s">
        <v>135</v>
      </c>
      <c r="B138" s="41">
        <v>5.25</v>
      </c>
      <c r="C138" s="4" t="e">
        <f t="shared" ref="C138:C139" si="5">B138*(1+A135)</f>
        <v>#VALUE!</v>
      </c>
      <c r="D138" s="4">
        <f t="shared" si="4"/>
        <v>5.6831250000000004</v>
      </c>
    </row>
    <row r="139" spans="1:4" x14ac:dyDescent="0.3">
      <c r="A139" s="41" t="s">
        <v>136</v>
      </c>
      <c r="B139" s="41">
        <v>12.75</v>
      </c>
      <c r="C139" s="4" t="e">
        <f t="shared" si="5"/>
        <v>#VALUE!</v>
      </c>
      <c r="D139" s="4">
        <f t="shared" si="4"/>
        <v>13.801875000000001</v>
      </c>
    </row>
    <row r="140" spans="1:4" x14ac:dyDescent="0.3">
      <c r="A140" s="41"/>
    </row>
    <row r="141" spans="1:4" x14ac:dyDescent="0.3">
      <c r="A141" s="27" t="s">
        <v>139</v>
      </c>
    </row>
    <row r="142" spans="1:4" ht="82.8" x14ac:dyDescent="0.3">
      <c r="A142" s="41" t="s">
        <v>140</v>
      </c>
    </row>
    <row r="143" spans="1:4" x14ac:dyDescent="0.3">
      <c r="A143" s="41"/>
    </row>
    <row r="144" spans="1:4" x14ac:dyDescent="0.3">
      <c r="A144" s="9" t="s">
        <v>87</v>
      </c>
      <c r="B144" s="9" t="s">
        <v>141</v>
      </c>
      <c r="C144" s="9" t="s">
        <v>142</v>
      </c>
    </row>
    <row r="145" spans="1:3" x14ac:dyDescent="0.3">
      <c r="A145" s="41" t="s">
        <v>119</v>
      </c>
      <c r="B145" s="18">
        <v>150000</v>
      </c>
      <c r="C145" s="19">
        <f>B145/$B$150</f>
        <v>0.15</v>
      </c>
    </row>
    <row r="146" spans="1:3" x14ac:dyDescent="0.3">
      <c r="A146" s="41" t="s">
        <v>96</v>
      </c>
      <c r="B146" s="18">
        <v>400000</v>
      </c>
      <c r="C146" s="19">
        <f>B146/$B$150</f>
        <v>0.4</v>
      </c>
    </row>
    <row r="147" spans="1:3" x14ac:dyDescent="0.3">
      <c r="A147" s="41" t="s">
        <v>90</v>
      </c>
      <c r="B147" s="18">
        <v>250000</v>
      </c>
      <c r="C147" s="19">
        <f>B147/$B$150</f>
        <v>0.25</v>
      </c>
    </row>
    <row r="148" spans="1:3" x14ac:dyDescent="0.3">
      <c r="A148" s="41" t="s">
        <v>143</v>
      </c>
      <c r="B148" s="18">
        <v>180000</v>
      </c>
      <c r="C148" s="19">
        <f>B148/$B$150</f>
        <v>0.18</v>
      </c>
    </row>
    <row r="149" spans="1:3" x14ac:dyDescent="0.3">
      <c r="A149" s="41" t="s">
        <v>116</v>
      </c>
      <c r="B149" s="18">
        <v>20000</v>
      </c>
      <c r="C149" s="19">
        <f>B149/$B$150</f>
        <v>0.02</v>
      </c>
    </row>
    <row r="150" spans="1:3" x14ac:dyDescent="0.3">
      <c r="A150" s="41" t="s">
        <v>144</v>
      </c>
      <c r="B150" s="20">
        <f>SUM(B145:B149)</f>
        <v>1000000</v>
      </c>
      <c r="C150" s="13"/>
    </row>
    <row r="151" spans="1:3" x14ac:dyDescent="0.3">
      <c r="A151" s="41"/>
      <c r="B151" s="41"/>
    </row>
    <row r="152" spans="1:3" x14ac:dyDescent="0.3">
      <c r="A152" s="28" t="s">
        <v>145</v>
      </c>
      <c r="B152" s="41"/>
    </row>
    <row r="153" spans="1:3" ht="138" x14ac:dyDescent="0.3">
      <c r="A153" s="41" t="s">
        <v>146</v>
      </c>
      <c r="B153" s="41"/>
    </row>
    <row r="154" spans="1:3" x14ac:dyDescent="0.3">
      <c r="A154" s="41" t="s">
        <v>147</v>
      </c>
      <c r="B154" s="41" t="s">
        <v>148</v>
      </c>
      <c r="C154" s="4" t="str">
        <f>_xlfn.CONCAT(A154," ",B154)</f>
        <v>John Doe</v>
      </c>
    </row>
    <row r="155" spans="1:3" x14ac:dyDescent="0.3">
      <c r="A155" s="41" t="s">
        <v>149</v>
      </c>
      <c r="B155" s="41" t="s">
        <v>150</v>
      </c>
      <c r="C155" s="4" t="str">
        <f t="shared" ref="C155:C161" si="6">_xlfn.CONCAT(A155," ",B155)</f>
        <v>Nicole Rogers</v>
      </c>
    </row>
    <row r="156" spans="1:3" x14ac:dyDescent="0.3">
      <c r="A156" s="41" t="s">
        <v>151</v>
      </c>
      <c r="B156" s="41" t="s">
        <v>152</v>
      </c>
      <c r="C156" s="4" t="str">
        <f t="shared" si="6"/>
        <v>Liam Simpson</v>
      </c>
    </row>
    <row r="157" spans="1:3" x14ac:dyDescent="0.3">
      <c r="A157" s="41" t="s">
        <v>153</v>
      </c>
      <c r="B157" s="41" t="s">
        <v>154</v>
      </c>
      <c r="C157" s="4" t="str">
        <f t="shared" si="6"/>
        <v>Peter Stein</v>
      </c>
    </row>
    <row r="158" spans="1:3" x14ac:dyDescent="0.3">
      <c r="A158" s="41" t="s">
        <v>155</v>
      </c>
      <c r="B158" s="41" t="s">
        <v>156</v>
      </c>
      <c r="C158" s="4" t="str">
        <f t="shared" si="6"/>
        <v>Anthony Newton</v>
      </c>
    </row>
    <row r="159" spans="1:3" x14ac:dyDescent="0.3">
      <c r="A159" s="41" t="s">
        <v>157</v>
      </c>
      <c r="B159" s="41" t="s">
        <v>158</v>
      </c>
      <c r="C159" s="4" t="str">
        <f t="shared" si="6"/>
        <v>Lydia Ross</v>
      </c>
    </row>
    <row r="160" spans="1:3" x14ac:dyDescent="0.3">
      <c r="A160" s="41" t="s">
        <v>159</v>
      </c>
      <c r="B160" s="41" t="s">
        <v>160</v>
      </c>
      <c r="C160" s="4" t="str">
        <f t="shared" si="6"/>
        <v>Emmy Watts</v>
      </c>
    </row>
    <row r="161" spans="1:4" x14ac:dyDescent="0.3">
      <c r="A161" s="41" t="s">
        <v>161</v>
      </c>
      <c r="B161" s="41" t="s">
        <v>162</v>
      </c>
      <c r="C161" s="4" t="str">
        <f t="shared" si="6"/>
        <v>David Fraser</v>
      </c>
    </row>
    <row r="162" spans="1:4" x14ac:dyDescent="0.3">
      <c r="A162" s="41"/>
    </row>
    <row r="163" spans="1:4" x14ac:dyDescent="0.3">
      <c r="A163" s="28" t="s">
        <v>164</v>
      </c>
    </row>
    <row r="164" spans="1:4" x14ac:dyDescent="0.3">
      <c r="A164" s="41"/>
    </row>
    <row r="165" spans="1:4" x14ac:dyDescent="0.3">
      <c r="A165" s="41" t="s">
        <v>163</v>
      </c>
    </row>
    <row r="166" spans="1:4" x14ac:dyDescent="0.3">
      <c r="A166" s="41"/>
    </row>
    <row r="167" spans="1:4" ht="69" x14ac:dyDescent="0.3">
      <c r="A167" s="41" t="s">
        <v>165</v>
      </c>
    </row>
    <row r="168" spans="1:4" x14ac:dyDescent="0.3">
      <c r="A168" s="41"/>
    </row>
    <row r="169" spans="1:4" x14ac:dyDescent="0.3">
      <c r="A169" s="9" t="s">
        <v>166</v>
      </c>
      <c r="B169" s="29" t="s">
        <v>198</v>
      </c>
      <c r="C169" s="9" t="s">
        <v>167</v>
      </c>
      <c r="D169" s="29" t="s">
        <v>199</v>
      </c>
    </row>
    <row r="170" spans="1:4" x14ac:dyDescent="0.3">
      <c r="A170" s="41" t="s">
        <v>168</v>
      </c>
      <c r="B170" s="4" t="s">
        <v>169</v>
      </c>
      <c r="C170" s="41" t="s">
        <v>170</v>
      </c>
      <c r="D170" s="4" t="s">
        <v>170</v>
      </c>
    </row>
    <row r="171" spans="1:4" x14ac:dyDescent="0.3">
      <c r="A171" s="41" t="s">
        <v>171</v>
      </c>
      <c r="B171" s="4" t="s">
        <v>172</v>
      </c>
      <c r="C171" s="41" t="s">
        <v>173</v>
      </c>
      <c r="D171" s="4" t="s">
        <v>173</v>
      </c>
    </row>
    <row r="172" spans="1:4" x14ac:dyDescent="0.3">
      <c r="A172" s="41" t="s">
        <v>174</v>
      </c>
      <c r="B172" s="4" t="s">
        <v>175</v>
      </c>
      <c r="C172" s="41" t="s">
        <v>176</v>
      </c>
      <c r="D172" s="4" t="s">
        <v>176</v>
      </c>
    </row>
    <row r="173" spans="1:4" x14ac:dyDescent="0.3">
      <c r="A173" s="41" t="s">
        <v>177</v>
      </c>
      <c r="B173" s="4" t="s">
        <v>178</v>
      </c>
      <c r="C173" s="41" t="s">
        <v>179</v>
      </c>
      <c r="D173" s="4" t="s">
        <v>179</v>
      </c>
    </row>
    <row r="174" spans="1:4" x14ac:dyDescent="0.3">
      <c r="A174" s="41" t="s">
        <v>180</v>
      </c>
      <c r="B174" s="4" t="s">
        <v>181</v>
      </c>
      <c r="C174" s="41" t="s">
        <v>182</v>
      </c>
      <c r="D174" s="4" t="s">
        <v>182</v>
      </c>
    </row>
    <row r="175" spans="1:4" x14ac:dyDescent="0.3">
      <c r="A175" s="41" t="s">
        <v>183</v>
      </c>
      <c r="B175" s="4" t="s">
        <v>184</v>
      </c>
      <c r="C175" s="41" t="s">
        <v>185</v>
      </c>
      <c r="D175" s="4" t="s">
        <v>185</v>
      </c>
    </row>
    <row r="176" spans="1:4" x14ac:dyDescent="0.3">
      <c r="A176" s="41" t="s">
        <v>186</v>
      </c>
      <c r="B176" s="4" t="s">
        <v>187</v>
      </c>
      <c r="C176" s="41" t="s">
        <v>188</v>
      </c>
      <c r="D176" s="4" t="s">
        <v>188</v>
      </c>
    </row>
    <row r="177" spans="1:4" x14ac:dyDescent="0.3">
      <c r="A177" s="41" t="s">
        <v>189</v>
      </c>
      <c r="B177" s="4" t="s">
        <v>190</v>
      </c>
      <c r="C177" s="41" t="s">
        <v>191</v>
      </c>
      <c r="D177" s="4" t="s">
        <v>191</v>
      </c>
    </row>
    <row r="178" spans="1:4" x14ac:dyDescent="0.3">
      <c r="A178" s="41" t="s">
        <v>192</v>
      </c>
      <c r="B178" s="4" t="s">
        <v>193</v>
      </c>
      <c r="C178" s="41" t="s">
        <v>194</v>
      </c>
      <c r="D178" s="4" t="s">
        <v>194</v>
      </c>
    </row>
    <row r="179" spans="1:4" x14ac:dyDescent="0.3">
      <c r="A179" s="41" t="s">
        <v>195</v>
      </c>
      <c r="B179" s="4" t="s">
        <v>196</v>
      </c>
      <c r="C179" s="41" t="s">
        <v>197</v>
      </c>
      <c r="D179" s="4" t="s">
        <v>197</v>
      </c>
    </row>
    <row r="181" spans="1:4" x14ac:dyDescent="0.3">
      <c r="A181" s="28" t="s">
        <v>200</v>
      </c>
    </row>
    <row r="182" spans="1:4" ht="96.6" x14ac:dyDescent="0.3">
      <c r="A182" s="2" t="s">
        <v>201</v>
      </c>
    </row>
    <row r="183" spans="1:4" x14ac:dyDescent="0.3">
      <c r="A183" s="6" t="s">
        <v>202</v>
      </c>
      <c r="B183" s="6" t="s">
        <v>203</v>
      </c>
    </row>
    <row r="184" spans="1:4" x14ac:dyDescent="0.3">
      <c r="A184" s="41" t="s">
        <v>204</v>
      </c>
      <c r="B184" s="21" t="str">
        <f>LEFT(A184,3)</f>
        <v>FIN</v>
      </c>
    </row>
    <row r="185" spans="1:4" x14ac:dyDescent="0.3">
      <c r="A185" s="41" t="s">
        <v>205</v>
      </c>
      <c r="B185" s="21" t="str">
        <f t="shared" ref="B185:B190" si="7">LEFT(A185,3)</f>
        <v>MKT</v>
      </c>
    </row>
    <row r="186" spans="1:4" x14ac:dyDescent="0.3">
      <c r="A186" s="41" t="s">
        <v>206</v>
      </c>
      <c r="B186" s="21" t="str">
        <f t="shared" si="7"/>
        <v>OPS</v>
      </c>
    </row>
    <row r="187" spans="1:4" x14ac:dyDescent="0.3">
      <c r="A187" s="41" t="s">
        <v>207</v>
      </c>
      <c r="B187" s="21" t="str">
        <f t="shared" si="7"/>
        <v>HRD</v>
      </c>
    </row>
    <row r="188" spans="1:4" x14ac:dyDescent="0.3">
      <c r="A188" s="41" t="s">
        <v>208</v>
      </c>
      <c r="B188" s="21" t="str">
        <f t="shared" si="7"/>
        <v>ITS</v>
      </c>
    </row>
    <row r="189" spans="1:4" x14ac:dyDescent="0.3">
      <c r="A189" s="41" t="s">
        <v>209</v>
      </c>
      <c r="B189" s="21" t="str">
        <f t="shared" si="7"/>
        <v>SLS</v>
      </c>
    </row>
    <row r="190" spans="1:4" x14ac:dyDescent="0.3">
      <c r="A190" s="41" t="s">
        <v>210</v>
      </c>
      <c r="B190" s="21" t="str">
        <f t="shared" si="7"/>
        <v>ADM</v>
      </c>
    </row>
    <row r="192" spans="1:4" x14ac:dyDescent="0.3">
      <c r="A192" s="28" t="s">
        <v>217</v>
      </c>
    </row>
    <row r="193" spans="1:5" x14ac:dyDescent="0.3">
      <c r="A193" s="1" t="s">
        <v>216</v>
      </c>
    </row>
    <row r="194" spans="1:5" ht="27.6" x14ac:dyDescent="0.3">
      <c r="A194" s="2" t="s">
        <v>218</v>
      </c>
    </row>
    <row r="195" spans="1:5" x14ac:dyDescent="0.3">
      <c r="A195" s="41" t="s">
        <v>219</v>
      </c>
      <c r="B195" s="41" t="s">
        <v>220</v>
      </c>
      <c r="C195" s="41" t="s">
        <v>221</v>
      </c>
    </row>
    <row r="196" spans="1:5" x14ac:dyDescent="0.3">
      <c r="A196" s="41" t="s">
        <v>222</v>
      </c>
      <c r="B196" s="41">
        <v>96</v>
      </c>
      <c r="C196" s="21" t="str">
        <f>IF(B196&gt;60,"Pass","Fail")</f>
        <v>Pass</v>
      </c>
    </row>
    <row r="197" spans="1:5" x14ac:dyDescent="0.3">
      <c r="A197" s="41" t="s">
        <v>223</v>
      </c>
      <c r="B197" s="41">
        <v>43</v>
      </c>
      <c r="C197" s="21" t="str">
        <f t="shared" ref="C197:C200" si="8">IF(B197&gt;60,"Pass","Fail")</f>
        <v>Fail</v>
      </c>
    </row>
    <row r="198" spans="1:5" x14ac:dyDescent="0.3">
      <c r="A198" s="41" t="s">
        <v>224</v>
      </c>
      <c r="B198" s="41">
        <v>20</v>
      </c>
      <c r="C198" s="21" t="str">
        <f t="shared" si="8"/>
        <v>Fail</v>
      </c>
    </row>
    <row r="199" spans="1:5" x14ac:dyDescent="0.3">
      <c r="A199" s="41" t="s">
        <v>225</v>
      </c>
      <c r="B199" s="41">
        <v>77</v>
      </c>
      <c r="C199" s="21" t="str">
        <f t="shared" si="8"/>
        <v>Pass</v>
      </c>
    </row>
    <row r="200" spans="1:5" x14ac:dyDescent="0.3">
      <c r="A200" s="41" t="s">
        <v>226</v>
      </c>
      <c r="B200" s="41">
        <v>76</v>
      </c>
      <c r="C200" s="21" t="str">
        <f t="shared" si="8"/>
        <v>Pass</v>
      </c>
    </row>
    <row r="202" spans="1:5" ht="82.8" x14ac:dyDescent="0.3">
      <c r="A202" s="2" t="s">
        <v>227</v>
      </c>
    </row>
    <row r="203" spans="1:5" x14ac:dyDescent="0.3">
      <c r="A203" s="41" t="s">
        <v>8</v>
      </c>
      <c r="B203" s="41"/>
      <c r="C203" s="41" t="s">
        <v>228</v>
      </c>
      <c r="D203" s="41" t="s">
        <v>229</v>
      </c>
    </row>
    <row r="204" spans="1:5" x14ac:dyDescent="0.3">
      <c r="A204" s="41">
        <v>0</v>
      </c>
      <c r="B204" s="41"/>
      <c r="C204" s="41" t="s">
        <v>230</v>
      </c>
      <c r="D204" s="4" t="str">
        <f>IF(OR(AND(A2&gt;15,A2&lt;30),A2 &gt; 55),"Yes","No")</f>
        <v>No</v>
      </c>
      <c r="E204" s="1" t="str">
        <f ca="1">_xlfn.FORMULATEXT(D204)</f>
        <v>=IF(OR(AND(A2&gt;15,A2&lt;30),A2 &gt; 55),"Yes","No")</v>
      </c>
    </row>
    <row r="205" spans="1:5" x14ac:dyDescent="0.3">
      <c r="A205" s="41">
        <v>15</v>
      </c>
      <c r="B205" s="41"/>
      <c r="C205" s="41" t="s">
        <v>230</v>
      </c>
      <c r="D205" s="4" t="str">
        <f t="shared" ref="D205:D210" si="9">IF(OR(AND(A3&gt;15,A3&lt;30),A3 &gt; 55),"Yes","No")</f>
        <v>No</v>
      </c>
    </row>
    <row r="206" spans="1:5" x14ac:dyDescent="0.3">
      <c r="A206" s="41">
        <v>16</v>
      </c>
      <c r="B206" s="41"/>
      <c r="C206" s="41" t="s">
        <v>231</v>
      </c>
      <c r="D206" s="4" t="str">
        <f t="shared" si="9"/>
        <v>No</v>
      </c>
    </row>
    <row r="207" spans="1:5" x14ac:dyDescent="0.3">
      <c r="A207" s="41">
        <v>29</v>
      </c>
      <c r="B207" s="41"/>
      <c r="C207" s="41" t="s">
        <v>231</v>
      </c>
      <c r="D207" s="4" t="str">
        <f t="shared" si="9"/>
        <v>No</v>
      </c>
    </row>
    <row r="208" spans="1:5" x14ac:dyDescent="0.3">
      <c r="A208" s="41">
        <v>30</v>
      </c>
      <c r="B208" s="41"/>
      <c r="C208" s="41" t="s">
        <v>230</v>
      </c>
      <c r="D208" s="4" t="str">
        <f t="shared" si="9"/>
        <v>Yes</v>
      </c>
    </row>
    <row r="209" spans="1:5" x14ac:dyDescent="0.3">
      <c r="A209" s="41">
        <v>55</v>
      </c>
      <c r="B209" s="41"/>
      <c r="C209" s="41" t="s">
        <v>230</v>
      </c>
      <c r="D209" s="4" t="str">
        <f t="shared" si="9"/>
        <v>No</v>
      </c>
    </row>
    <row r="210" spans="1:5" x14ac:dyDescent="0.3">
      <c r="A210" s="41">
        <v>56</v>
      </c>
      <c r="B210" s="41"/>
      <c r="C210" s="41" t="s">
        <v>231</v>
      </c>
      <c r="D210" s="4" t="str">
        <f t="shared" si="9"/>
        <v>Yes</v>
      </c>
    </row>
    <row r="211" spans="1:5" x14ac:dyDescent="0.3">
      <c r="A211" s="2"/>
    </row>
    <row r="212" spans="1:5" x14ac:dyDescent="0.3">
      <c r="A212" s="28" t="s">
        <v>233</v>
      </c>
    </row>
    <row r="213" spans="1:5" x14ac:dyDescent="0.3">
      <c r="A213" s="2" t="s">
        <v>232</v>
      </c>
    </row>
    <row r="214" spans="1:5" ht="96.6" x14ac:dyDescent="0.3">
      <c r="A214" s="2" t="s">
        <v>234</v>
      </c>
    </row>
    <row r="215" spans="1:5" x14ac:dyDescent="0.3">
      <c r="A215" s="6" t="s">
        <v>235</v>
      </c>
      <c r="B215" s="6" t="s">
        <v>236</v>
      </c>
      <c r="C215" s="6" t="s">
        <v>237</v>
      </c>
      <c r="D215" s="6" t="s">
        <v>238</v>
      </c>
      <c r="E215" s="6" t="s">
        <v>251</v>
      </c>
    </row>
    <row r="216" spans="1:5" x14ac:dyDescent="0.3">
      <c r="A216" s="41" t="s">
        <v>239</v>
      </c>
      <c r="B216" s="41" t="s">
        <v>240</v>
      </c>
      <c r="C216" s="16">
        <v>35594</v>
      </c>
      <c r="D216" s="4">
        <f ca="1">DATEDIF(C216,TODAY(),"Y")</f>
        <v>29</v>
      </c>
      <c r="E216" s="4">
        <f ca="1">DATEDIF(C216,TODAY(),"M")</f>
        <v>348</v>
      </c>
    </row>
    <row r="217" spans="1:5" x14ac:dyDescent="0.3">
      <c r="A217" s="41" t="s">
        <v>241</v>
      </c>
      <c r="B217" s="41" t="s">
        <v>242</v>
      </c>
      <c r="C217" s="16">
        <v>33768</v>
      </c>
      <c r="D217" s="4">
        <f t="shared" ref="D217:D221" ca="1" si="10">DATEDIF(C217,TODAY(),"Y")</f>
        <v>34</v>
      </c>
      <c r="E217" s="4">
        <f t="shared" ref="E217:E221" ca="1" si="11">DATEDIF(C217,TODAY(),"M")</f>
        <v>408</v>
      </c>
    </row>
    <row r="218" spans="1:5" x14ac:dyDescent="0.3">
      <c r="A218" s="41" t="s">
        <v>243</v>
      </c>
      <c r="B218" s="41" t="s">
        <v>244</v>
      </c>
      <c r="C218" s="16">
        <v>31211</v>
      </c>
      <c r="D218" s="4">
        <f t="shared" ca="1" si="10"/>
        <v>41</v>
      </c>
      <c r="E218" s="4">
        <f t="shared" ca="1" si="11"/>
        <v>492</v>
      </c>
    </row>
    <row r="219" spans="1:5" x14ac:dyDescent="0.3">
      <c r="A219" s="41" t="s">
        <v>245</v>
      </c>
      <c r="B219" s="41" t="s">
        <v>246</v>
      </c>
      <c r="C219" s="16">
        <v>38151</v>
      </c>
      <c r="D219" s="4">
        <f t="shared" ca="1" si="10"/>
        <v>22</v>
      </c>
      <c r="E219" s="4">
        <f t="shared" ca="1" si="11"/>
        <v>264</v>
      </c>
    </row>
    <row r="220" spans="1:5" x14ac:dyDescent="0.3">
      <c r="A220" s="41" t="s">
        <v>247</v>
      </c>
      <c r="B220" s="41" t="s">
        <v>248</v>
      </c>
      <c r="C220" s="16">
        <v>25002</v>
      </c>
      <c r="D220" s="4">
        <f t="shared" ca="1" si="10"/>
        <v>58</v>
      </c>
      <c r="E220" s="4">
        <f t="shared" ca="1" si="11"/>
        <v>696</v>
      </c>
    </row>
    <row r="221" spans="1:5" x14ac:dyDescent="0.3">
      <c r="A221" s="41" t="s">
        <v>249</v>
      </c>
      <c r="B221" s="41" t="s">
        <v>250</v>
      </c>
      <c r="C221" s="16">
        <v>29750</v>
      </c>
      <c r="D221" s="4">
        <f t="shared" ca="1" si="10"/>
        <v>45</v>
      </c>
      <c r="E221" s="4">
        <f t="shared" ca="1" si="11"/>
        <v>540</v>
      </c>
    </row>
    <row r="223" spans="1:5" x14ac:dyDescent="0.3">
      <c r="A223" s="28" t="s">
        <v>252</v>
      </c>
    </row>
    <row r="224" spans="1:5" ht="69" x14ac:dyDescent="0.3">
      <c r="A224" s="2" t="s">
        <v>253</v>
      </c>
    </row>
    <row r="225" spans="1:3" ht="96.6" x14ac:dyDescent="0.3">
      <c r="A225" s="2" t="s">
        <v>254</v>
      </c>
    </row>
    <row r="226" spans="1:3" x14ac:dyDescent="0.3">
      <c r="A226" s="9" t="s">
        <v>255</v>
      </c>
      <c r="B226" s="9" t="s">
        <v>256</v>
      </c>
      <c r="C226" s="9" t="s">
        <v>47</v>
      </c>
    </row>
    <row r="227" spans="1:3" x14ac:dyDescent="0.3">
      <c r="A227" s="41" t="s">
        <v>257</v>
      </c>
      <c r="B227" s="41" t="s">
        <v>258</v>
      </c>
      <c r="C227" s="41" t="s">
        <v>89</v>
      </c>
    </row>
    <row r="228" spans="1:3" x14ac:dyDescent="0.3">
      <c r="A228" s="41" t="s">
        <v>259</v>
      </c>
      <c r="B228" s="41" t="s">
        <v>260</v>
      </c>
      <c r="C228" s="41" t="s">
        <v>89</v>
      </c>
    </row>
    <row r="229" spans="1:3" x14ac:dyDescent="0.3">
      <c r="A229" s="41" t="s">
        <v>261</v>
      </c>
      <c r="B229" s="41" t="s">
        <v>262</v>
      </c>
      <c r="C229" s="41" t="s">
        <v>263</v>
      </c>
    </row>
    <row r="230" spans="1:3" x14ac:dyDescent="0.3">
      <c r="A230" s="41" t="s">
        <v>264</v>
      </c>
      <c r="B230" s="41" t="s">
        <v>265</v>
      </c>
      <c r="C230" s="41" t="s">
        <v>89</v>
      </c>
    </row>
    <row r="231" spans="1:3" x14ac:dyDescent="0.3">
      <c r="A231" s="41" t="s">
        <v>266</v>
      </c>
      <c r="B231" s="41" t="s">
        <v>267</v>
      </c>
      <c r="C231" s="41" t="s">
        <v>89</v>
      </c>
    </row>
    <row r="232" spans="1:3" x14ac:dyDescent="0.3">
      <c r="A232" s="41" t="s">
        <v>268</v>
      </c>
      <c r="B232" s="41" t="s">
        <v>269</v>
      </c>
      <c r="C232" s="41" t="s">
        <v>263</v>
      </c>
    </row>
    <row r="233" spans="1:3" x14ac:dyDescent="0.3">
      <c r="A233" s="41" t="s">
        <v>270</v>
      </c>
      <c r="B233" s="41" t="s">
        <v>271</v>
      </c>
      <c r="C233" s="41" t="s">
        <v>89</v>
      </c>
    </row>
    <row r="234" spans="1:3" x14ac:dyDescent="0.3">
      <c r="A234" s="41"/>
      <c r="B234" s="41"/>
      <c r="C234" s="41"/>
    </row>
    <row r="235" spans="1:3" x14ac:dyDescent="0.3">
      <c r="A235" s="13" t="s">
        <v>272</v>
      </c>
      <c r="B235" s="41" t="s">
        <v>261</v>
      </c>
      <c r="C235" s="41"/>
    </row>
    <row r="236" spans="1:3" x14ac:dyDescent="0.3">
      <c r="A236" s="13" t="s">
        <v>47</v>
      </c>
      <c r="B236" s="4" t="str">
        <f>_xlfn.XLOOKUP(B235,A227:A233,C227:C233,0)</f>
        <v>Office equipment</v>
      </c>
      <c r="C236" s="46" t="str">
        <f ca="1">_xlfn.FORMULATEXT(B236)</f>
        <v>=XLOOKUP(B235,A227:A233,C227:C233,0)</v>
      </c>
    </row>
    <row r="237" spans="1:3" x14ac:dyDescent="0.3">
      <c r="C237" s="46"/>
    </row>
    <row r="238" spans="1:3" x14ac:dyDescent="0.3">
      <c r="A238" s="28" t="s">
        <v>274</v>
      </c>
    </row>
    <row r="239" spans="1:3" ht="69" x14ac:dyDescent="0.3">
      <c r="A239" s="2" t="s">
        <v>273</v>
      </c>
    </row>
    <row r="241" spans="1:3" x14ac:dyDescent="0.3">
      <c r="A241" s="9" t="s">
        <v>202</v>
      </c>
      <c r="B241" s="9" t="s">
        <v>275</v>
      </c>
      <c r="C241" s="9" t="s">
        <v>276</v>
      </c>
    </row>
    <row r="242" spans="1:3" x14ac:dyDescent="0.3">
      <c r="A242" s="41" t="s">
        <v>277</v>
      </c>
      <c r="B242" s="41" t="s">
        <v>278</v>
      </c>
      <c r="C242" s="41">
        <v>342</v>
      </c>
    </row>
    <row r="243" spans="1:3" x14ac:dyDescent="0.3">
      <c r="A243" s="41" t="s">
        <v>279</v>
      </c>
      <c r="B243" s="41" t="s">
        <v>280</v>
      </c>
      <c r="C243" s="41">
        <v>128</v>
      </c>
    </row>
    <row r="244" spans="1:3" x14ac:dyDescent="0.3">
      <c r="A244" s="41" t="s">
        <v>281</v>
      </c>
      <c r="B244" s="41" t="s">
        <v>282</v>
      </c>
      <c r="C244" s="41">
        <v>56</v>
      </c>
    </row>
    <row r="245" spans="1:3" x14ac:dyDescent="0.3">
      <c r="A245" s="41" t="s">
        <v>283</v>
      </c>
      <c r="B245" s="41" t="s">
        <v>284</v>
      </c>
      <c r="C245" s="41">
        <v>89</v>
      </c>
    </row>
    <row r="246" spans="1:3" x14ac:dyDescent="0.3">
      <c r="A246" s="41" t="s">
        <v>285</v>
      </c>
      <c r="B246" s="41" t="s">
        <v>286</v>
      </c>
      <c r="C246" s="41">
        <v>203</v>
      </c>
    </row>
    <row r="247" spans="1:3" x14ac:dyDescent="0.3">
      <c r="A247" s="41" t="s">
        <v>287</v>
      </c>
      <c r="B247" s="41" t="s">
        <v>288</v>
      </c>
      <c r="C247" s="41">
        <v>74</v>
      </c>
    </row>
    <row r="248" spans="1:3" x14ac:dyDescent="0.3">
      <c r="A248" s="41" t="s">
        <v>289</v>
      </c>
      <c r="B248" s="41" t="s">
        <v>290</v>
      </c>
      <c r="C248" s="41">
        <v>165</v>
      </c>
    </row>
    <row r="249" spans="1:3" x14ac:dyDescent="0.3">
      <c r="A249" s="41"/>
      <c r="B249" s="41"/>
      <c r="C249" s="41"/>
    </row>
    <row r="250" spans="1:3" x14ac:dyDescent="0.3">
      <c r="A250" s="9" t="s">
        <v>202</v>
      </c>
      <c r="B250" s="9" t="s">
        <v>275</v>
      </c>
      <c r="C250" s="9" t="s">
        <v>291</v>
      </c>
    </row>
    <row r="251" spans="1:3" x14ac:dyDescent="0.3">
      <c r="A251" s="41" t="s">
        <v>283</v>
      </c>
      <c r="B251" s="41" t="s">
        <v>284</v>
      </c>
      <c r="C251" s="4">
        <f>_xlfn.XLOOKUP(A251,A$242:A$248,$C$242:$C$248,0)</f>
        <v>89</v>
      </c>
    </row>
    <row r="252" spans="1:3" x14ac:dyDescent="0.3">
      <c r="A252" s="41" t="s">
        <v>277</v>
      </c>
      <c r="B252" s="41" t="s">
        <v>278</v>
      </c>
      <c r="C252" s="4">
        <f t="shared" ref="C252:C254" si="12">_xlfn.XLOOKUP(A252,A$242:A$248,$C$242:$C$248,0)</f>
        <v>342</v>
      </c>
    </row>
    <row r="253" spans="1:3" x14ac:dyDescent="0.3">
      <c r="A253" s="41" t="s">
        <v>289</v>
      </c>
      <c r="B253" s="41" t="s">
        <v>290</v>
      </c>
      <c r="C253" s="4">
        <f t="shared" si="12"/>
        <v>165</v>
      </c>
    </row>
    <row r="254" spans="1:3" x14ac:dyDescent="0.3">
      <c r="A254" s="41" t="s">
        <v>285</v>
      </c>
      <c r="B254" s="41" t="s">
        <v>286</v>
      </c>
      <c r="C254" s="4">
        <f t="shared" si="12"/>
        <v>203</v>
      </c>
    </row>
    <row r="256" spans="1:3" x14ac:dyDescent="0.3">
      <c r="B256" s="48" t="str">
        <f ca="1">_xlfn.FORMULATEXT(C251)</f>
        <v>=XLOOKUP(A251,A$242:A$248,$C$242:$C$248,0)</v>
      </c>
      <c r="C256" s="48"/>
    </row>
    <row r="258" spans="1:4" x14ac:dyDescent="0.3">
      <c r="A258" s="28" t="s">
        <v>292</v>
      </c>
    </row>
    <row r="259" spans="1:4" x14ac:dyDescent="0.3">
      <c r="A259" s="1" t="s">
        <v>216</v>
      </c>
    </row>
    <row r="260" spans="1:4" ht="55.2" x14ac:dyDescent="0.3">
      <c r="A260" s="2" t="s">
        <v>293</v>
      </c>
    </row>
    <row r="261" spans="1:4" x14ac:dyDescent="0.3">
      <c r="A261" s="9" t="s">
        <v>113</v>
      </c>
      <c r="B261" s="9" t="s">
        <v>294</v>
      </c>
      <c r="C261" s="9" t="s">
        <v>295</v>
      </c>
      <c r="D261" s="9" t="s">
        <v>296</v>
      </c>
    </row>
    <row r="262" spans="1:4" x14ac:dyDescent="0.3">
      <c r="A262" s="41" t="s">
        <v>297</v>
      </c>
      <c r="B262" s="18">
        <v>52000</v>
      </c>
      <c r="C262" s="18">
        <v>50000</v>
      </c>
      <c r="D262" s="22">
        <f>IF(B262&gt;C262,B262*10%,0)</f>
        <v>5200</v>
      </c>
    </row>
    <row r="263" spans="1:4" x14ac:dyDescent="0.3">
      <c r="A263" s="41" t="s">
        <v>298</v>
      </c>
      <c r="B263" s="18">
        <v>48000</v>
      </c>
      <c r="C263" s="18">
        <v>50000</v>
      </c>
      <c r="D263" s="22">
        <f t="shared" ref="D263:D268" si="13">IF(B263&gt;C263,B263*10%,0)</f>
        <v>0</v>
      </c>
    </row>
    <row r="264" spans="1:4" x14ac:dyDescent="0.3">
      <c r="A264" s="41" t="s">
        <v>299</v>
      </c>
      <c r="B264" s="18">
        <v>50000</v>
      </c>
      <c r="C264" s="18">
        <v>50000</v>
      </c>
      <c r="D264" s="22">
        <f t="shared" si="13"/>
        <v>0</v>
      </c>
    </row>
    <row r="265" spans="1:4" x14ac:dyDescent="0.3">
      <c r="A265" s="41" t="s">
        <v>225</v>
      </c>
      <c r="B265" s="18">
        <v>61000</v>
      </c>
      <c r="C265" s="18">
        <v>60000</v>
      </c>
      <c r="D265" s="22">
        <f t="shared" si="13"/>
        <v>6100</v>
      </c>
    </row>
    <row r="266" spans="1:4" x14ac:dyDescent="0.3">
      <c r="A266" s="41" t="s">
        <v>300</v>
      </c>
      <c r="B266" s="18">
        <v>39900</v>
      </c>
      <c r="C266" s="18">
        <v>35000</v>
      </c>
      <c r="D266" s="22">
        <f t="shared" si="13"/>
        <v>3990</v>
      </c>
    </row>
    <row r="267" spans="1:4" x14ac:dyDescent="0.3">
      <c r="A267" s="41" t="s">
        <v>301</v>
      </c>
      <c r="B267" s="18">
        <v>27500</v>
      </c>
      <c r="C267" s="18">
        <v>30000</v>
      </c>
      <c r="D267" s="22">
        <f t="shared" si="13"/>
        <v>0</v>
      </c>
    </row>
    <row r="268" spans="1:4" x14ac:dyDescent="0.3">
      <c r="A268" s="41" t="s">
        <v>302</v>
      </c>
      <c r="B268" s="18">
        <v>74500</v>
      </c>
      <c r="C268" s="18">
        <v>70000</v>
      </c>
      <c r="D268" s="22">
        <f t="shared" si="13"/>
        <v>7450</v>
      </c>
    </row>
    <row r="269" spans="1:4" x14ac:dyDescent="0.3">
      <c r="D269" s="1" t="str">
        <f ca="1">_xlfn.FORMULATEXT(D262)</f>
        <v>=IF(B262&gt;C262,B262*10%,0)</v>
      </c>
    </row>
    <row r="270" spans="1:4" x14ac:dyDescent="0.3">
      <c r="A270" s="28" t="s">
        <v>303</v>
      </c>
    </row>
    <row r="271" spans="1:4" x14ac:dyDescent="0.3">
      <c r="A271" s="15" t="s">
        <v>216</v>
      </c>
    </row>
    <row r="272" spans="1:4" ht="69" x14ac:dyDescent="0.3">
      <c r="A272" s="2" t="s">
        <v>304</v>
      </c>
    </row>
    <row r="274" spans="1:4" x14ac:dyDescent="0.3">
      <c r="A274" s="9" t="s">
        <v>305</v>
      </c>
      <c r="B274" s="9" t="s">
        <v>306</v>
      </c>
      <c r="C274" s="9" t="s">
        <v>295</v>
      </c>
      <c r="D274" s="9" t="s">
        <v>307</v>
      </c>
    </row>
    <row r="275" spans="1:4" x14ac:dyDescent="0.3">
      <c r="A275" s="41" t="s">
        <v>297</v>
      </c>
      <c r="B275" s="18">
        <v>12500</v>
      </c>
      <c r="C275" s="18">
        <v>12000</v>
      </c>
      <c r="D275" s="4" t="str">
        <f>IF(B275&gt;=C275,"On Target","Below Target")</f>
        <v>On Target</v>
      </c>
    </row>
    <row r="276" spans="1:4" x14ac:dyDescent="0.3">
      <c r="A276" s="41" t="s">
        <v>298</v>
      </c>
      <c r="B276" s="18">
        <v>9800</v>
      </c>
      <c r="C276" s="18">
        <v>11000</v>
      </c>
      <c r="D276" s="4" t="str">
        <f t="shared" ref="D276:D281" si="14">IF(B276&gt;=C276,"On Target","Below Target")</f>
        <v>Below Target</v>
      </c>
    </row>
    <row r="277" spans="1:4" x14ac:dyDescent="0.3">
      <c r="A277" s="41" t="s">
        <v>299</v>
      </c>
      <c r="B277" s="18">
        <v>15000</v>
      </c>
      <c r="C277" s="18">
        <v>15000</v>
      </c>
      <c r="D277" s="4" t="str">
        <f t="shared" si="14"/>
        <v>On Target</v>
      </c>
    </row>
    <row r="278" spans="1:4" x14ac:dyDescent="0.3">
      <c r="A278" s="41" t="s">
        <v>225</v>
      </c>
      <c r="B278" s="18">
        <v>7200</v>
      </c>
      <c r="C278" s="18">
        <v>7000</v>
      </c>
      <c r="D278" s="4" t="str">
        <f t="shared" si="14"/>
        <v>On Target</v>
      </c>
    </row>
    <row r="279" spans="1:4" x14ac:dyDescent="0.3">
      <c r="A279" s="41" t="s">
        <v>300</v>
      </c>
      <c r="B279" s="18">
        <v>6400</v>
      </c>
      <c r="C279" s="18">
        <v>8000</v>
      </c>
      <c r="D279" s="4" t="str">
        <f t="shared" si="14"/>
        <v>Below Target</v>
      </c>
    </row>
    <row r="280" spans="1:4" x14ac:dyDescent="0.3">
      <c r="A280" s="41" t="s">
        <v>301</v>
      </c>
      <c r="B280" s="18">
        <v>18300</v>
      </c>
      <c r="C280" s="18">
        <v>17500</v>
      </c>
      <c r="D280" s="4" t="str">
        <f t="shared" si="14"/>
        <v>On Target</v>
      </c>
    </row>
    <row r="281" spans="1:4" x14ac:dyDescent="0.3">
      <c r="A281" s="41" t="s">
        <v>302</v>
      </c>
      <c r="B281" s="18">
        <v>10500</v>
      </c>
      <c r="C281" s="18">
        <v>10000</v>
      </c>
      <c r="D281" s="4" t="str">
        <f t="shared" si="14"/>
        <v>On Target</v>
      </c>
    </row>
    <row r="283" spans="1:4" x14ac:dyDescent="0.3">
      <c r="A283" s="28"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9" t="s">
        <v>310</v>
      </c>
      <c r="B294" s="9" t="s">
        <v>311</v>
      </c>
      <c r="C294" s="9" t="s">
        <v>312</v>
      </c>
      <c r="D294" s="9" t="s">
        <v>313</v>
      </c>
    </row>
    <row r="295" spans="1:5" x14ac:dyDescent="0.3">
      <c r="A295" s="41" t="s">
        <v>314</v>
      </c>
      <c r="B295" s="18">
        <v>120000</v>
      </c>
      <c r="C295" s="18">
        <v>135000</v>
      </c>
      <c r="D295" s="19">
        <f>(C295-B295)/B295</f>
        <v>0.125</v>
      </c>
      <c r="E295" s="1" t="str">
        <f ca="1">_xlfn.FORMULATEXT(D295)</f>
        <v>=(C295-B295)/B295</v>
      </c>
    </row>
    <row r="296" spans="1:5" x14ac:dyDescent="0.3">
      <c r="A296" s="41" t="s">
        <v>315</v>
      </c>
      <c r="B296" s="18">
        <v>145000</v>
      </c>
      <c r="C296" s="18">
        <v>160000</v>
      </c>
      <c r="D296" s="19">
        <f t="shared" ref="D296:D299" si="15">(C296-B296)/B296</f>
        <v>0.10344827586206896</v>
      </c>
    </row>
    <row r="297" spans="1:5" x14ac:dyDescent="0.3">
      <c r="A297" s="41" t="s">
        <v>316</v>
      </c>
      <c r="B297" s="18">
        <v>130000</v>
      </c>
      <c r="C297" s="18">
        <v>125000</v>
      </c>
      <c r="D297" s="19">
        <f t="shared" si="15"/>
        <v>-3.8461538461538464E-2</v>
      </c>
    </row>
    <row r="298" spans="1:5" x14ac:dyDescent="0.3">
      <c r="A298" s="41" t="s">
        <v>317</v>
      </c>
      <c r="B298" s="18">
        <v>155000</v>
      </c>
      <c r="C298" s="18">
        <v>170000</v>
      </c>
      <c r="D298" s="19">
        <f t="shared" si="15"/>
        <v>9.6774193548387094E-2</v>
      </c>
    </row>
    <row r="299" spans="1:5" x14ac:dyDescent="0.3">
      <c r="A299" s="13" t="s">
        <v>26</v>
      </c>
      <c r="B299" s="20">
        <f>SUM(B295:B298)</f>
        <v>550000</v>
      </c>
      <c r="C299" s="20">
        <f>SUM(C295:C298)</f>
        <v>590000</v>
      </c>
      <c r="D299" s="19">
        <f t="shared" si="15"/>
        <v>7.2727272727272724E-2</v>
      </c>
    </row>
    <row r="301" spans="1:5" x14ac:dyDescent="0.3">
      <c r="A301" s="28" t="s">
        <v>326</v>
      </c>
    </row>
    <row r="302" spans="1:5" x14ac:dyDescent="0.3">
      <c r="A302" s="41" t="s">
        <v>346</v>
      </c>
    </row>
    <row r="303" spans="1:5" x14ac:dyDescent="0.3">
      <c r="A303" s="30"/>
    </row>
    <row r="304" spans="1:5" x14ac:dyDescent="0.3">
      <c r="A304" s="30" t="s">
        <v>347</v>
      </c>
    </row>
    <row r="305" spans="1:7" x14ac:dyDescent="0.3">
      <c r="A305" s="30" t="s">
        <v>348</v>
      </c>
    </row>
    <row r="306" spans="1:7" x14ac:dyDescent="0.3">
      <c r="A306" s="15"/>
    </row>
    <row r="307" spans="1:7" x14ac:dyDescent="0.3">
      <c r="A307" s="41"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6" t="s">
        <v>329</v>
      </c>
      <c r="B314" s="6" t="s">
        <v>330</v>
      </c>
      <c r="C314" s="6" t="s">
        <v>9</v>
      </c>
      <c r="D314" s="6" t="s">
        <v>8</v>
      </c>
      <c r="E314" s="6" t="s">
        <v>331</v>
      </c>
      <c r="F314" s="6"/>
    </row>
    <row r="315" spans="1:7" x14ac:dyDescent="0.3">
      <c r="A315" s="41" t="s">
        <v>332</v>
      </c>
      <c r="B315" s="41" t="s">
        <v>333</v>
      </c>
      <c r="C315" s="41">
        <v>25.2</v>
      </c>
      <c r="D315" s="41">
        <v>100</v>
      </c>
      <c r="E315" s="41" t="s">
        <v>334</v>
      </c>
      <c r="F315" s="4">
        <f>SUMPRODUCT(D315:D322)</f>
        <v>700</v>
      </c>
      <c r="G315" s="1" t="str">
        <f ca="1">_xlfn.FORMULATEXT(F315)</f>
        <v>=SUMPRODUCT(D315:D322)</v>
      </c>
    </row>
    <row r="316" spans="1:7" x14ac:dyDescent="0.3">
      <c r="A316" s="41" t="s">
        <v>335</v>
      </c>
      <c r="B316" s="41" t="s">
        <v>336</v>
      </c>
      <c r="C316" s="41">
        <v>24.2</v>
      </c>
      <c r="D316" s="41">
        <v>120</v>
      </c>
      <c r="E316" s="41" t="s">
        <v>337</v>
      </c>
      <c r="F316" s="4" cm="1">
        <f t="array" ref="F316">SUMPRODUCT(C315:C322*D315:D322)</f>
        <v>16947</v>
      </c>
    </row>
    <row r="317" spans="1:7" x14ac:dyDescent="0.3">
      <c r="A317" s="41" t="s">
        <v>338</v>
      </c>
      <c r="B317" s="41" t="s">
        <v>339</v>
      </c>
      <c r="C317" s="41">
        <v>23.75</v>
      </c>
      <c r="D317" s="41">
        <v>80</v>
      </c>
      <c r="E317" s="41" t="s">
        <v>340</v>
      </c>
      <c r="F317" s="4">
        <f>F316/F315</f>
        <v>24.21</v>
      </c>
    </row>
    <row r="318" spans="1:7" x14ac:dyDescent="0.3">
      <c r="A318" s="41" t="s">
        <v>341</v>
      </c>
      <c r="B318" s="41" t="s">
        <v>333</v>
      </c>
      <c r="C318" s="41">
        <v>24.1</v>
      </c>
      <c r="D318" s="41">
        <v>150</v>
      </c>
      <c r="E318" s="41"/>
      <c r="F318" s="41"/>
      <c r="G318" s="41"/>
    </row>
    <row r="319" spans="1:7" x14ac:dyDescent="0.3">
      <c r="A319" s="41" t="s">
        <v>342</v>
      </c>
      <c r="B319" s="41" t="s">
        <v>336</v>
      </c>
      <c r="C319" s="41">
        <v>23.9</v>
      </c>
      <c r="D319" s="41">
        <v>60</v>
      </c>
      <c r="E319" s="41"/>
      <c r="F319" s="41"/>
      <c r="G319" s="41"/>
    </row>
    <row r="320" spans="1:7" x14ac:dyDescent="0.3">
      <c r="A320" s="41" t="s">
        <v>343</v>
      </c>
      <c r="B320" s="41" t="s">
        <v>339</v>
      </c>
      <c r="C320" s="41">
        <v>24.8</v>
      </c>
      <c r="D320" s="41">
        <v>40</v>
      </c>
      <c r="E320" s="41"/>
      <c r="F320" s="41"/>
      <c r="G320" s="41"/>
    </row>
    <row r="321" spans="1:7" x14ac:dyDescent="0.3">
      <c r="A321" s="41" t="s">
        <v>344</v>
      </c>
      <c r="B321" s="41" t="s">
        <v>333</v>
      </c>
      <c r="C321" s="41">
        <v>23.6</v>
      </c>
      <c r="D321" s="41">
        <v>90</v>
      </c>
      <c r="E321" s="41"/>
      <c r="F321" s="41"/>
      <c r="G321" s="41"/>
    </row>
    <row r="322" spans="1:7" x14ac:dyDescent="0.3">
      <c r="A322" s="41" t="s">
        <v>345</v>
      </c>
      <c r="B322" s="41" t="s">
        <v>336</v>
      </c>
      <c r="C322" s="41">
        <v>24.3</v>
      </c>
      <c r="D322" s="41">
        <v>60</v>
      </c>
      <c r="E322" s="41"/>
      <c r="F322" s="41"/>
      <c r="G322" s="41"/>
    </row>
    <row r="324" spans="1:7" x14ac:dyDescent="0.3">
      <c r="A324" s="28" t="s">
        <v>352</v>
      </c>
    </row>
    <row r="325" spans="1:7" x14ac:dyDescent="0.3">
      <c r="A325" s="15"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41" t="s">
        <v>354</v>
      </c>
      <c r="B333" s="41"/>
    </row>
    <row r="334" spans="1:7" x14ac:dyDescent="0.3">
      <c r="A334" s="6" t="s">
        <v>235</v>
      </c>
      <c r="B334" s="6" t="s">
        <v>87</v>
      </c>
    </row>
    <row r="335" spans="1:7" x14ac:dyDescent="0.3">
      <c r="A335" s="41">
        <v>1040</v>
      </c>
      <c r="B335" s="41" t="s">
        <v>92</v>
      </c>
    </row>
    <row r="336" spans="1:7" x14ac:dyDescent="0.3">
      <c r="A336" s="41">
        <v>1042</v>
      </c>
      <c r="B336" s="41" t="s">
        <v>116</v>
      </c>
    </row>
    <row r="337" spans="1:3" x14ac:dyDescent="0.3">
      <c r="A337" s="41">
        <v>1051</v>
      </c>
      <c r="B337" s="41" t="s">
        <v>355</v>
      </c>
    </row>
    <row r="338" spans="1:3" x14ac:dyDescent="0.3">
      <c r="A338" s="41">
        <v>1063</v>
      </c>
      <c r="B338" s="41" t="s">
        <v>90</v>
      </c>
    </row>
    <row r="339" spans="1:3" x14ac:dyDescent="0.3">
      <c r="A339" s="41">
        <v>1038</v>
      </c>
      <c r="B339" s="41" t="s">
        <v>356</v>
      </c>
    </row>
    <row r="340" spans="1:3" x14ac:dyDescent="0.3">
      <c r="A340" s="41"/>
      <c r="B340" s="41"/>
    </row>
    <row r="341" spans="1:3" x14ac:dyDescent="0.3">
      <c r="A341" s="41" t="s">
        <v>357</v>
      </c>
      <c r="B341" s="41"/>
    </row>
    <row r="342" spans="1:3" x14ac:dyDescent="0.3">
      <c r="A342" s="6" t="s">
        <v>235</v>
      </c>
      <c r="B342" s="6" t="s">
        <v>358</v>
      </c>
    </row>
    <row r="343" spans="1:3" x14ac:dyDescent="0.3">
      <c r="A343" s="41">
        <v>1042</v>
      </c>
      <c r="B343" s="4" t="str">
        <f>VLOOKUP(A343,$A$335:$B$339,2,0)</f>
        <v>HR</v>
      </c>
      <c r="C343" s="1" t="str">
        <f ca="1">_xlfn.FORMULATEXT(B343)</f>
        <v>=VLOOKUP(A343,$A$335:$B$339,2,0)</v>
      </c>
    </row>
    <row r="344" spans="1:3" x14ac:dyDescent="0.3">
      <c r="A344" s="41">
        <v>1038</v>
      </c>
      <c r="B344" s="4" t="str">
        <f t="shared" ref="B344:B346" si="16">VLOOKUP(A344,$A$335:$B$339,2,0)</f>
        <v>Payroll</v>
      </c>
    </row>
    <row r="345" spans="1:3" x14ac:dyDescent="0.3">
      <c r="A345" s="41">
        <v>1051</v>
      </c>
      <c r="B345" s="4" t="str">
        <f t="shared" si="16"/>
        <v>IT</v>
      </c>
    </row>
    <row r="346" spans="1:3" x14ac:dyDescent="0.3">
      <c r="A346" s="41">
        <v>1040</v>
      </c>
      <c r="B346" s="4" t="str">
        <f t="shared" si="16"/>
        <v>Finance</v>
      </c>
    </row>
    <row r="347" spans="1:3" x14ac:dyDescent="0.3">
      <c r="A347" s="41"/>
    </row>
    <row r="348" spans="1:3" x14ac:dyDescent="0.3">
      <c r="A348" s="28" t="s">
        <v>360</v>
      </c>
    </row>
    <row r="349" spans="1:3" x14ac:dyDescent="0.3">
      <c r="A349" s="15"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6" t="s">
        <v>362</v>
      </c>
      <c r="B355" s="6" t="s">
        <v>314</v>
      </c>
      <c r="C355" s="6" t="s">
        <v>315</v>
      </c>
      <c r="D355" s="6" t="s">
        <v>316</v>
      </c>
      <c r="E355" s="6" t="s">
        <v>317</v>
      </c>
    </row>
    <row r="356" spans="1:5" x14ac:dyDescent="0.3">
      <c r="A356" s="41" t="s">
        <v>363</v>
      </c>
      <c r="B356" s="41">
        <v>85000</v>
      </c>
      <c r="C356" s="41">
        <v>95000</v>
      </c>
      <c r="D356" s="41">
        <v>110000</v>
      </c>
      <c r="E356" s="41">
        <v>120000</v>
      </c>
    </row>
    <row r="357" spans="1:5" x14ac:dyDescent="0.3">
      <c r="C357" s="41"/>
      <c r="D357" s="41"/>
      <c r="E357" s="41"/>
    </row>
    <row r="358" spans="1:5" x14ac:dyDescent="0.3">
      <c r="A358" s="1" t="s">
        <v>310</v>
      </c>
      <c r="B358" s="1" t="s">
        <v>316</v>
      </c>
      <c r="C358" s="4">
        <f>HLOOKUP(B358,A355:E356,2,0)</f>
        <v>110000</v>
      </c>
      <c r="D358" s="41"/>
      <c r="E358" s="41"/>
    </row>
    <row r="359" spans="1:5" ht="26.4" customHeight="1" x14ac:dyDescent="0.3">
      <c r="A359" s="1" t="s">
        <v>364</v>
      </c>
      <c r="C359" s="46" t="str">
        <f ca="1">_xlfn.FORMULATEXT(C358)</f>
        <v>=HLOOKUP(B358,A355:E356,2,0)</v>
      </c>
      <c r="D359" s="41"/>
      <c r="E359" s="41"/>
    </row>
    <row r="360" spans="1:5" x14ac:dyDescent="0.3">
      <c r="C360" s="46"/>
    </row>
    <row r="362" spans="1:5" x14ac:dyDescent="0.3">
      <c r="A362" s="28" t="s">
        <v>374</v>
      </c>
    </row>
    <row r="363" spans="1:5" x14ac:dyDescent="0.3">
      <c r="A363" s="1" t="s">
        <v>375</v>
      </c>
    </row>
    <row r="364" spans="1:5" x14ac:dyDescent="0.3">
      <c r="A364" s="30" t="s">
        <v>396</v>
      </c>
    </row>
    <row r="365" spans="1:5" x14ac:dyDescent="0.3">
      <c r="A365" s="30" t="s">
        <v>397</v>
      </c>
    </row>
    <row r="367" spans="1:5" x14ac:dyDescent="0.3">
      <c r="A367" s="41" t="s">
        <v>398</v>
      </c>
    </row>
    <row r="368" spans="1:5" x14ac:dyDescent="0.3">
      <c r="A368" s="15"/>
    </row>
    <row r="369" spans="1:8" x14ac:dyDescent="0.3">
      <c r="A369" s="41"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41" t="s">
        <v>378</v>
      </c>
      <c r="B375" s="41"/>
      <c r="C375" s="41"/>
      <c r="D375" s="41"/>
      <c r="E375" s="41"/>
      <c r="F375" s="41"/>
      <c r="G375" s="41"/>
      <c r="H375" s="41"/>
    </row>
    <row r="376" spans="1:8" x14ac:dyDescent="0.3">
      <c r="A376" s="32" t="s">
        <v>379</v>
      </c>
      <c r="B376" s="41"/>
      <c r="C376" s="41"/>
      <c r="D376" s="41"/>
      <c r="E376" s="41"/>
      <c r="F376" s="41"/>
      <c r="G376" s="41"/>
      <c r="H376" s="41"/>
    </row>
    <row r="377" spans="1:8" x14ac:dyDescent="0.3">
      <c r="A377" s="33" t="s">
        <v>380</v>
      </c>
      <c r="B377" s="41"/>
      <c r="C377" s="41"/>
      <c r="E377" s="41"/>
      <c r="F377" s="41"/>
      <c r="G377" s="33" t="s">
        <v>381</v>
      </c>
      <c r="H377" s="41"/>
    </row>
    <row r="378" spans="1:8" x14ac:dyDescent="0.3">
      <c r="A378" s="6" t="s">
        <v>382</v>
      </c>
      <c r="B378" s="6" t="s">
        <v>383</v>
      </c>
      <c r="C378" s="6" t="s">
        <v>384</v>
      </c>
      <c r="D378" s="6" t="s">
        <v>385</v>
      </c>
      <c r="E378" s="6" t="s">
        <v>386</v>
      </c>
      <c r="F378" s="41"/>
      <c r="G378" s="6" t="s">
        <v>387</v>
      </c>
      <c r="H378" s="6" t="s">
        <v>385</v>
      </c>
    </row>
    <row r="379" spans="1:8" x14ac:dyDescent="0.3">
      <c r="A379" s="41" t="s">
        <v>388</v>
      </c>
      <c r="B379" s="41" t="s">
        <v>389</v>
      </c>
      <c r="C379" s="41">
        <v>0.8</v>
      </c>
      <c r="D379" s="4">
        <f>VLOOKUP(C379,G379:H383,2,1)</f>
        <v>6.5</v>
      </c>
      <c r="E379" s="41">
        <v>5.2</v>
      </c>
      <c r="F379" s="41"/>
      <c r="G379" s="41">
        <v>0</v>
      </c>
      <c r="H379" s="41">
        <v>6.5</v>
      </c>
    </row>
    <row r="380" spans="1:8" x14ac:dyDescent="0.3">
      <c r="A380" s="41" t="s">
        <v>390</v>
      </c>
      <c r="B380" s="41" t="s">
        <v>389</v>
      </c>
      <c r="C380" s="41">
        <v>2.4</v>
      </c>
      <c r="D380" s="4">
        <f t="shared" ref="D380:D383" si="17">VLOOKUP(C380,G380:H384,2,1)</f>
        <v>5.75</v>
      </c>
      <c r="E380" s="41">
        <v>13.8</v>
      </c>
      <c r="F380" s="41"/>
      <c r="G380" s="41">
        <v>1</v>
      </c>
      <c r="H380" s="41">
        <v>5.75</v>
      </c>
    </row>
    <row r="381" spans="1:8" x14ac:dyDescent="0.3">
      <c r="A381" s="41" t="s">
        <v>391</v>
      </c>
      <c r="B381" s="41" t="s">
        <v>392</v>
      </c>
      <c r="C381" s="41">
        <v>6.2</v>
      </c>
      <c r="D381" s="4">
        <f>VLOOKUP(C381,G381:H385,2,1)</f>
        <v>5</v>
      </c>
      <c r="E381" s="41">
        <v>31</v>
      </c>
      <c r="F381" s="41"/>
      <c r="G381" s="41">
        <v>5</v>
      </c>
      <c r="H381" s="41">
        <v>5</v>
      </c>
    </row>
    <row r="382" spans="1:8" x14ac:dyDescent="0.3">
      <c r="A382" s="41" t="s">
        <v>393</v>
      </c>
      <c r="B382" s="41" t="s">
        <v>394</v>
      </c>
      <c r="C382" s="41">
        <v>12</v>
      </c>
      <c r="D382" s="4">
        <f t="shared" si="17"/>
        <v>4.25</v>
      </c>
      <c r="E382" s="41">
        <v>51</v>
      </c>
      <c r="F382" s="41"/>
      <c r="G382" s="41">
        <v>10</v>
      </c>
      <c r="H382" s="41">
        <v>4.25</v>
      </c>
    </row>
    <row r="383" spans="1:8" x14ac:dyDescent="0.3">
      <c r="A383" s="41" t="s">
        <v>395</v>
      </c>
      <c r="B383" s="41" t="s">
        <v>389</v>
      </c>
      <c r="C383" s="41">
        <v>24.5</v>
      </c>
      <c r="D383" s="4">
        <f t="shared" si="17"/>
        <v>3.75</v>
      </c>
      <c r="E383" s="41">
        <v>91.875</v>
      </c>
      <c r="F383" s="41"/>
      <c r="G383" s="41">
        <v>20</v>
      </c>
      <c r="H383" s="41">
        <v>3.75</v>
      </c>
    </row>
    <row r="385" spans="1:4" x14ac:dyDescent="0.3">
      <c r="D385" s="1" t="str">
        <f ca="1">_xlfn.FORMULATEXT(D379)</f>
        <v>=VLOOKUP(C379,G379:H383,2,1)</v>
      </c>
    </row>
    <row r="387" spans="1:4" x14ac:dyDescent="0.3">
      <c r="A387" s="28" t="s">
        <v>401</v>
      </c>
    </row>
    <row r="388" spans="1:4" x14ac:dyDescent="0.3">
      <c r="A388" s="1"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41"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9" t="s">
        <v>403</v>
      </c>
      <c r="B401" s="9" t="s">
        <v>404</v>
      </c>
      <c r="C401" s="9" t="s">
        <v>405</v>
      </c>
      <c r="D401" s="9" t="s">
        <v>406</v>
      </c>
    </row>
    <row r="402" spans="1:4" x14ac:dyDescent="0.3">
      <c r="A402" s="41" t="s">
        <v>407</v>
      </c>
      <c r="B402" s="41" t="s">
        <v>408</v>
      </c>
      <c r="C402" s="41" t="s">
        <v>409</v>
      </c>
      <c r="D402" s="41" t="s">
        <v>410</v>
      </c>
    </row>
    <row r="403" spans="1:4" x14ac:dyDescent="0.3">
      <c r="A403" s="41" t="s">
        <v>411</v>
      </c>
      <c r="B403" s="41" t="s">
        <v>412</v>
      </c>
      <c r="C403" s="41" t="s">
        <v>413</v>
      </c>
      <c r="D403" s="41" t="s">
        <v>414</v>
      </c>
    </row>
    <row r="404" spans="1:4" x14ac:dyDescent="0.3">
      <c r="A404" s="41" t="s">
        <v>415</v>
      </c>
      <c r="B404" s="41" t="s">
        <v>416</v>
      </c>
      <c r="C404" s="41" t="s">
        <v>417</v>
      </c>
      <c r="D404" s="41" t="s">
        <v>418</v>
      </c>
    </row>
    <row r="405" spans="1:4" x14ac:dyDescent="0.3">
      <c r="A405" s="41" t="s">
        <v>419</v>
      </c>
      <c r="B405" s="41" t="s">
        <v>420</v>
      </c>
      <c r="C405" s="41" t="s">
        <v>421</v>
      </c>
      <c r="D405" s="41" t="s">
        <v>422</v>
      </c>
    </row>
    <row r="406" spans="1:4" x14ac:dyDescent="0.3">
      <c r="A406" s="41" t="s">
        <v>423</v>
      </c>
      <c r="B406" s="41" t="s">
        <v>424</v>
      </c>
      <c r="C406" s="41" t="s">
        <v>425</v>
      </c>
      <c r="D406" s="41" t="s">
        <v>426</v>
      </c>
    </row>
    <row r="407" spans="1:4" x14ac:dyDescent="0.3">
      <c r="A407" s="41" t="s">
        <v>427</v>
      </c>
      <c r="B407" s="41" t="s">
        <v>428</v>
      </c>
      <c r="C407" s="41" t="s">
        <v>429</v>
      </c>
      <c r="D407" s="41" t="s">
        <v>430</v>
      </c>
    </row>
    <row r="408" spans="1:4" x14ac:dyDescent="0.3">
      <c r="A408" s="41"/>
      <c r="B408" s="41"/>
      <c r="C408" s="41"/>
      <c r="D408" s="41"/>
    </row>
    <row r="409" spans="1:4" x14ac:dyDescent="0.3">
      <c r="A409" s="41" t="s">
        <v>403</v>
      </c>
      <c r="B409" s="41" t="s">
        <v>419</v>
      </c>
      <c r="C409" s="41"/>
      <c r="D409" s="41"/>
    </row>
    <row r="410" spans="1:4" x14ac:dyDescent="0.3">
      <c r="A410" s="41" t="s">
        <v>405</v>
      </c>
      <c r="B410" s="4" t="str">
        <f>VLOOKUP(B409,A402:C407,3,0)</f>
        <v>Denver</v>
      </c>
      <c r="C410" s="41"/>
      <c r="D410" s="41"/>
    </row>
    <row r="411" spans="1:4" x14ac:dyDescent="0.3">
      <c r="B411" s="1" t="str">
        <f ca="1">_xlfn.FORMULATEXT(B410)</f>
        <v>=VLOOKUP(B409,A402:C407,3,0)</v>
      </c>
    </row>
    <row r="413" spans="1:4" x14ac:dyDescent="0.3">
      <c r="A413" s="28" t="s">
        <v>439</v>
      </c>
    </row>
    <row r="414" spans="1:4" ht="69" x14ac:dyDescent="0.3">
      <c r="A414" s="2" t="s">
        <v>440</v>
      </c>
    </row>
    <row r="416" spans="1:4" ht="69" x14ac:dyDescent="0.3">
      <c r="A416" s="2" t="s">
        <v>440</v>
      </c>
    </row>
    <row r="418" spans="1:7" x14ac:dyDescent="0.3">
      <c r="A418" s="6" t="s">
        <v>202</v>
      </c>
      <c r="B418" s="6" t="s">
        <v>46</v>
      </c>
      <c r="C418" s="6" t="s">
        <v>47</v>
      </c>
      <c r="D418" s="6" t="s">
        <v>441</v>
      </c>
    </row>
    <row r="419" spans="1:7" x14ac:dyDescent="0.3">
      <c r="A419" s="41" t="s">
        <v>442</v>
      </c>
      <c r="B419" s="41" t="s">
        <v>443</v>
      </c>
      <c r="C419" s="41" t="s">
        <v>444</v>
      </c>
      <c r="D419" s="41">
        <v>12</v>
      </c>
    </row>
    <row r="420" spans="1:7" x14ac:dyDescent="0.3">
      <c r="A420" s="41" t="s">
        <v>445</v>
      </c>
      <c r="B420" s="41" t="s">
        <v>446</v>
      </c>
      <c r="C420" s="41" t="s">
        <v>447</v>
      </c>
      <c r="D420" s="41">
        <v>18</v>
      </c>
    </row>
    <row r="421" spans="1:7" x14ac:dyDescent="0.3">
      <c r="A421" s="41" t="s">
        <v>448</v>
      </c>
      <c r="B421" s="41" t="s">
        <v>449</v>
      </c>
      <c r="C421" s="41" t="s">
        <v>106</v>
      </c>
      <c r="D421" s="41">
        <v>24</v>
      </c>
    </row>
    <row r="422" spans="1:7" x14ac:dyDescent="0.3">
      <c r="A422" s="41" t="s">
        <v>450</v>
      </c>
      <c r="B422" s="41" t="s">
        <v>60</v>
      </c>
      <c r="C422" s="41" t="s">
        <v>447</v>
      </c>
      <c r="D422" s="41">
        <v>35</v>
      </c>
    </row>
    <row r="424" spans="1:7" x14ac:dyDescent="0.3">
      <c r="B424" s="1" t="s">
        <v>451</v>
      </c>
      <c r="C424" s="1" t="s">
        <v>446</v>
      </c>
    </row>
    <row r="425" spans="1:7" x14ac:dyDescent="0.3">
      <c r="B425" s="1" t="s">
        <v>452</v>
      </c>
      <c r="C425" s="1" t="str">
        <f>_xlfn.XLOOKUP(C424,B419:B422,A419:A422,"Not Found")</f>
        <v>SK-200</v>
      </c>
    </row>
    <row r="427" spans="1:7" x14ac:dyDescent="0.3">
      <c r="C427" s="1" t="str">
        <f ca="1">_xlfn.FORMULATEXT(C425)</f>
        <v>=XLOOKUP(C424,B419:B422,A419:A422,"Not Found")</v>
      </c>
    </row>
    <row r="429" spans="1:7" x14ac:dyDescent="0.3">
      <c r="A429" s="28" t="s">
        <v>453</v>
      </c>
    </row>
    <row r="430" spans="1:7" ht="69" x14ac:dyDescent="0.3">
      <c r="A430" s="35" t="s">
        <v>477</v>
      </c>
    </row>
    <row r="431" spans="1:7" ht="82.8" x14ac:dyDescent="0.3">
      <c r="A431" s="35" t="s">
        <v>476</v>
      </c>
    </row>
    <row r="432" spans="1:7" x14ac:dyDescent="0.3">
      <c r="A432" s="6" t="s">
        <v>202</v>
      </c>
      <c r="B432" s="6" t="s">
        <v>46</v>
      </c>
      <c r="C432" s="6" t="s">
        <v>47</v>
      </c>
      <c r="D432" s="6" t="s">
        <v>454</v>
      </c>
      <c r="E432" s="41"/>
      <c r="F432" s="6" t="s">
        <v>455</v>
      </c>
      <c r="G432" s="6" t="s">
        <v>46</v>
      </c>
    </row>
    <row r="433" spans="1:7" x14ac:dyDescent="0.3">
      <c r="A433" s="41" t="s">
        <v>456</v>
      </c>
      <c r="B433" s="41" t="s">
        <v>457</v>
      </c>
      <c r="C433" s="41" t="s">
        <v>458</v>
      </c>
      <c r="D433" s="41">
        <v>6.25</v>
      </c>
      <c r="E433" s="41"/>
      <c r="F433" s="34" t="s">
        <v>456</v>
      </c>
      <c r="G433" s="4" t="str">
        <f t="shared" ref="G433:G439" si="18">_xlfn.XLOOKUP(F433,$A$433:$A$439,$B$433:$B$439,"Discontinued")</f>
        <v>Box Cutter</v>
      </c>
    </row>
    <row r="434" spans="1:7" x14ac:dyDescent="0.3">
      <c r="A434" s="41" t="s">
        <v>459</v>
      </c>
      <c r="B434" s="41" t="s">
        <v>460</v>
      </c>
      <c r="C434" s="41" t="s">
        <v>461</v>
      </c>
      <c r="D434" s="41">
        <v>3.4</v>
      </c>
      <c r="E434" s="41"/>
      <c r="F434" s="34" t="s">
        <v>462</v>
      </c>
      <c r="G434" s="4" t="str">
        <f t="shared" si="18"/>
        <v>Discontinued</v>
      </c>
    </row>
    <row r="435" spans="1:7" x14ac:dyDescent="0.3">
      <c r="A435" s="41" t="s">
        <v>463</v>
      </c>
      <c r="B435" s="41" t="s">
        <v>464</v>
      </c>
      <c r="C435" s="41" t="s">
        <v>461</v>
      </c>
      <c r="D435" s="41">
        <v>19.989999999999998</v>
      </c>
      <c r="E435" s="41"/>
      <c r="F435" s="34" t="s">
        <v>463</v>
      </c>
      <c r="G435" s="4" t="str">
        <f t="shared" si="18"/>
        <v>Bubble Wrap Roll</v>
      </c>
    </row>
    <row r="436" spans="1:7" x14ac:dyDescent="0.3">
      <c r="A436" s="41" t="s">
        <v>465</v>
      </c>
      <c r="B436" s="41" t="s">
        <v>466</v>
      </c>
      <c r="C436" s="41" t="s">
        <v>461</v>
      </c>
      <c r="D436" s="41">
        <v>14.5</v>
      </c>
      <c r="E436" s="41"/>
      <c r="F436" s="34" t="s">
        <v>467</v>
      </c>
      <c r="G436" s="4" t="str">
        <f t="shared" si="18"/>
        <v>Discontinued</v>
      </c>
    </row>
    <row r="437" spans="1:7" x14ac:dyDescent="0.3">
      <c r="A437" s="41" t="s">
        <v>468</v>
      </c>
      <c r="B437" s="41" t="s">
        <v>469</v>
      </c>
      <c r="C437" s="41" t="s">
        <v>470</v>
      </c>
      <c r="D437" s="41">
        <v>8.75</v>
      </c>
      <c r="E437" s="41"/>
      <c r="F437" s="34" t="s">
        <v>468</v>
      </c>
      <c r="G437" s="4" t="str">
        <f t="shared" si="18"/>
        <v>Safety Gloves (L)</v>
      </c>
    </row>
    <row r="438" spans="1:7" x14ac:dyDescent="0.3">
      <c r="A438" s="41" t="s">
        <v>471</v>
      </c>
      <c r="B438" s="41" t="s">
        <v>472</v>
      </c>
      <c r="C438" s="41" t="s">
        <v>447</v>
      </c>
      <c r="D438" s="41">
        <v>27.5</v>
      </c>
      <c r="E438" s="41"/>
      <c r="F438" s="34" t="s">
        <v>473</v>
      </c>
      <c r="G438" s="4" t="str">
        <f t="shared" si="18"/>
        <v>Discontinued</v>
      </c>
    </row>
    <row r="439" spans="1:7" x14ac:dyDescent="0.3">
      <c r="A439" s="41" t="s">
        <v>474</v>
      </c>
      <c r="B439" s="41" t="s">
        <v>475</v>
      </c>
      <c r="C439" s="41" t="s">
        <v>470</v>
      </c>
      <c r="D439" s="41">
        <v>12</v>
      </c>
      <c r="E439" s="41"/>
      <c r="F439" s="34" t="s">
        <v>474</v>
      </c>
      <c r="G439" s="4" t="str">
        <f t="shared" si="18"/>
        <v>Warehouse Marking Tape</v>
      </c>
    </row>
    <row r="441" spans="1:7" x14ac:dyDescent="0.3">
      <c r="A441" s="28" t="s">
        <v>478</v>
      </c>
      <c r="G441" s="1" t="str">
        <f ca="1">_xlfn.FORMULATEXT(G433)</f>
        <v>=XLOOKUP(F433,$A$433:$A$439,$B$433:$B$439,"Discontinued")</v>
      </c>
    </row>
    <row r="442" spans="1:7" x14ac:dyDescent="0.3">
      <c r="A442" s="41" t="s">
        <v>479</v>
      </c>
    </row>
    <row r="443" spans="1:7" x14ac:dyDescent="0.3">
      <c r="A443" s="15"/>
    </row>
    <row r="444" spans="1:7" ht="27.6" x14ac:dyDescent="0.3">
      <c r="A444" s="41" t="s">
        <v>505</v>
      </c>
    </row>
    <row r="445" spans="1:7" x14ac:dyDescent="0.3">
      <c r="A445" s="15"/>
    </row>
    <row r="446" spans="1:7" x14ac:dyDescent="0.3">
      <c r="A446" s="41" t="s">
        <v>480</v>
      </c>
    </row>
    <row r="447" spans="1:7" x14ac:dyDescent="0.3">
      <c r="A447" s="15"/>
    </row>
    <row r="448" spans="1:7" x14ac:dyDescent="0.3">
      <c r="A448" s="41" t="s">
        <v>481</v>
      </c>
    </row>
    <row r="450" spans="1:4" x14ac:dyDescent="0.3">
      <c r="A450" s="9" t="s">
        <v>255</v>
      </c>
      <c r="B450" s="9" t="s">
        <v>256</v>
      </c>
      <c r="C450" s="9" t="s">
        <v>47</v>
      </c>
      <c r="D450" s="9" t="s">
        <v>482</v>
      </c>
    </row>
    <row r="451" spans="1:4" x14ac:dyDescent="0.3">
      <c r="A451" s="41" t="s">
        <v>483</v>
      </c>
      <c r="B451" s="41" t="s">
        <v>484</v>
      </c>
      <c r="C451" s="41" t="s">
        <v>461</v>
      </c>
      <c r="D451" s="41">
        <v>22.4</v>
      </c>
    </row>
    <row r="452" spans="1:4" x14ac:dyDescent="0.3">
      <c r="A452" s="41" t="s">
        <v>485</v>
      </c>
      <c r="B452" s="41" t="s">
        <v>486</v>
      </c>
      <c r="C452" s="41" t="s">
        <v>487</v>
      </c>
      <c r="D452" s="41">
        <v>18.5</v>
      </c>
    </row>
    <row r="453" spans="1:4" x14ac:dyDescent="0.3">
      <c r="A453" s="41" t="s">
        <v>488</v>
      </c>
      <c r="B453" s="41" t="s">
        <v>489</v>
      </c>
      <c r="C453" s="41" t="s">
        <v>490</v>
      </c>
      <c r="D453" s="41">
        <v>7.2</v>
      </c>
    </row>
    <row r="454" spans="1:4" x14ac:dyDescent="0.3">
      <c r="A454" s="41" t="s">
        <v>491</v>
      </c>
      <c r="B454" s="41" t="s">
        <v>492</v>
      </c>
      <c r="C454" s="41" t="s">
        <v>487</v>
      </c>
      <c r="D454" s="41">
        <v>9.75</v>
      </c>
    </row>
    <row r="455" spans="1:4" x14ac:dyDescent="0.3">
      <c r="A455" s="41" t="s">
        <v>493</v>
      </c>
      <c r="B455" s="41" t="s">
        <v>494</v>
      </c>
      <c r="C455" s="41" t="s">
        <v>470</v>
      </c>
      <c r="D455" s="41">
        <v>31</v>
      </c>
    </row>
    <row r="456" spans="1:4" x14ac:dyDescent="0.3">
      <c r="A456" s="41" t="s">
        <v>495</v>
      </c>
      <c r="B456" s="41" t="s">
        <v>496</v>
      </c>
      <c r="C456" s="41" t="s">
        <v>487</v>
      </c>
      <c r="D456" s="41">
        <v>12.6</v>
      </c>
    </row>
    <row r="457" spans="1:4" x14ac:dyDescent="0.3">
      <c r="A457" s="41" t="s">
        <v>497</v>
      </c>
      <c r="B457" s="41" t="s">
        <v>498</v>
      </c>
      <c r="C457" s="41" t="s">
        <v>499</v>
      </c>
      <c r="D457" s="41">
        <v>14.25</v>
      </c>
    </row>
    <row r="458" spans="1:4" x14ac:dyDescent="0.3">
      <c r="A458" s="41" t="s">
        <v>500</v>
      </c>
      <c r="B458" s="41" t="s">
        <v>501</v>
      </c>
      <c r="C458" s="41" t="s">
        <v>487</v>
      </c>
      <c r="D458" s="41">
        <v>24.9</v>
      </c>
    </row>
    <row r="459" spans="1:4" x14ac:dyDescent="0.3">
      <c r="A459" s="41"/>
      <c r="B459" s="41"/>
      <c r="C459" s="41"/>
      <c r="D459" s="41"/>
    </row>
    <row r="460" spans="1:4" x14ac:dyDescent="0.3">
      <c r="A460" s="13" t="s">
        <v>502</v>
      </c>
      <c r="B460" s="36" t="s">
        <v>503</v>
      </c>
      <c r="C460" s="41"/>
      <c r="D460" s="41"/>
    </row>
    <row r="461" spans="1:4" x14ac:dyDescent="0.3">
      <c r="A461" s="13" t="s">
        <v>504</v>
      </c>
      <c r="B461" s="4" t="str">
        <f>_xlfn.XLOOKUP("*"&amp;B460&amp;"*",B451:B458,B451:B458,,2)</f>
        <v>Citrus Surface Cleaner</v>
      </c>
      <c r="C461" s="41"/>
      <c r="D461" s="41"/>
    </row>
    <row r="462" spans="1:4" x14ac:dyDescent="0.3">
      <c r="A462" s="13" t="s">
        <v>482</v>
      </c>
      <c r="B462" s="4">
        <f>_xlfn.XLOOKUP("*"&amp;B460&amp;"*",B451:B458,D451:D458,,2)</f>
        <v>12.6</v>
      </c>
      <c r="C462" s="41"/>
      <c r="D462" s="41"/>
    </row>
    <row r="464" spans="1:4" x14ac:dyDescent="0.3">
      <c r="B464" s="1" t="str">
        <f ca="1">_xlfn.FORMULATEXT(B461)</f>
        <v>=XLOOKUP("*"&amp;B460&amp;"*",B451:B458,B451:B458,,2)</v>
      </c>
    </row>
    <row r="465" spans="1:8" x14ac:dyDescent="0.3">
      <c r="A465" s="41"/>
      <c r="B465" s="41"/>
      <c r="C465" s="41"/>
      <c r="D465" s="41"/>
      <c r="E465" s="41"/>
      <c r="F465" s="41"/>
      <c r="G465" s="41"/>
      <c r="H465" s="41"/>
    </row>
    <row r="466" spans="1:8" x14ac:dyDescent="0.3">
      <c r="A466" s="28" t="s">
        <v>506</v>
      </c>
      <c r="B466" s="41"/>
      <c r="C466" s="41"/>
      <c r="D466" s="41"/>
      <c r="E466" s="41"/>
      <c r="F466" s="41"/>
      <c r="G466" s="41"/>
      <c r="H466" s="41"/>
    </row>
    <row r="467" spans="1:8" ht="41.4" x14ac:dyDescent="0.3">
      <c r="A467" s="41" t="s">
        <v>507</v>
      </c>
      <c r="B467" s="41"/>
      <c r="C467" s="41"/>
      <c r="D467" s="41"/>
      <c r="E467" s="41"/>
      <c r="F467" s="41"/>
      <c r="G467" s="41"/>
      <c r="H467" s="41"/>
    </row>
    <row r="468" spans="1:8" ht="55.2" x14ac:dyDescent="0.3">
      <c r="A468" s="41" t="s">
        <v>508</v>
      </c>
      <c r="B468" s="41"/>
      <c r="C468" s="41"/>
      <c r="D468" s="41"/>
      <c r="E468" s="41"/>
      <c r="F468" s="41"/>
      <c r="G468" s="41"/>
      <c r="H468" s="41"/>
    </row>
    <row r="469" spans="1:8" x14ac:dyDescent="0.3">
      <c r="A469" s="41"/>
      <c r="B469" s="41"/>
      <c r="C469" s="41"/>
      <c r="D469" s="41"/>
      <c r="E469" s="41"/>
      <c r="F469" s="41"/>
      <c r="G469" s="41"/>
      <c r="H469" s="41"/>
    </row>
    <row r="470" spans="1:8" x14ac:dyDescent="0.3">
      <c r="A470" s="9" t="s">
        <v>202</v>
      </c>
      <c r="B470" s="9" t="s">
        <v>46</v>
      </c>
      <c r="C470" s="9" t="s">
        <v>509</v>
      </c>
      <c r="D470" s="41"/>
      <c r="E470" s="41"/>
      <c r="F470" s="41"/>
      <c r="G470" s="41"/>
      <c r="H470" s="41"/>
    </row>
    <row r="471" spans="1:8" x14ac:dyDescent="0.3">
      <c r="A471" s="41" t="s">
        <v>510</v>
      </c>
      <c r="B471" s="41" t="s">
        <v>511</v>
      </c>
      <c r="C471" s="41">
        <v>120</v>
      </c>
      <c r="D471" s="41"/>
      <c r="E471" s="41"/>
      <c r="F471" s="41"/>
      <c r="G471" s="41"/>
      <c r="H471" s="41"/>
    </row>
    <row r="472" spans="1:8" x14ac:dyDescent="0.3">
      <c r="A472" s="41" t="s">
        <v>512</v>
      </c>
      <c r="B472" s="41" t="s">
        <v>513</v>
      </c>
      <c r="C472" s="41">
        <v>50</v>
      </c>
      <c r="D472" s="41"/>
      <c r="E472" s="41"/>
      <c r="F472" s="41"/>
      <c r="G472" s="41"/>
      <c r="H472" s="41"/>
    </row>
    <row r="473" spans="1:8" x14ac:dyDescent="0.3">
      <c r="A473" s="41" t="s">
        <v>514</v>
      </c>
      <c r="B473" s="41" t="s">
        <v>515</v>
      </c>
      <c r="C473" s="41">
        <v>0</v>
      </c>
      <c r="D473" s="41"/>
      <c r="E473" s="41"/>
      <c r="F473" s="41"/>
      <c r="G473" s="41"/>
      <c r="H473" s="41"/>
    </row>
    <row r="474" spans="1:8" x14ac:dyDescent="0.3">
      <c r="A474" s="41"/>
      <c r="B474" s="41"/>
      <c r="C474" s="41"/>
      <c r="D474" s="41"/>
      <c r="E474" s="41"/>
      <c r="F474" s="41"/>
      <c r="G474" s="41"/>
      <c r="H474" s="41"/>
    </row>
    <row r="475" spans="1:8" x14ac:dyDescent="0.3">
      <c r="A475" s="41" t="s">
        <v>516</v>
      </c>
      <c r="B475" s="37" t="s">
        <v>517</v>
      </c>
      <c r="C475" s="41"/>
      <c r="D475" s="41"/>
      <c r="E475" s="41"/>
      <c r="F475" s="41"/>
      <c r="G475" s="41"/>
      <c r="H475" s="41"/>
    </row>
    <row r="476" spans="1:8" x14ac:dyDescent="0.3">
      <c r="A476" s="38" t="s">
        <v>518</v>
      </c>
      <c r="B476" s="4" t="str">
        <f>_xlfn.IFNA(VLOOKUP(B475,A471:C473,2,0),"Not Found")</f>
        <v>Not Found</v>
      </c>
      <c r="C476" s="46" t="str">
        <f ca="1">_xlfn.FORMULATEXT(B476)</f>
        <v>=IFNA(VLOOKUP(B475,A471:C473,2,0),"Not Found")</v>
      </c>
      <c r="D476" s="46"/>
      <c r="E476" s="46"/>
      <c r="F476" s="41"/>
      <c r="G476" s="41"/>
      <c r="H476" s="41"/>
    </row>
    <row r="477" spans="1:8" x14ac:dyDescent="0.3">
      <c r="A477" s="38" t="s">
        <v>519</v>
      </c>
      <c r="B477" s="4" t="str">
        <f>_xlfn.XLOOKUP(B475,A471:A473,B471:B473,"Not Found")</f>
        <v>Not Found</v>
      </c>
      <c r="C477" s="46" t="str">
        <f ca="1">_xlfn.FORMULATEXT(B477)</f>
        <v>=XLOOKUP(B475,A471:A473,B471:B473,"Not Found")</v>
      </c>
      <c r="D477" s="46"/>
      <c r="E477" s="46"/>
      <c r="F477" s="41"/>
      <c r="G477" s="41"/>
      <c r="H477" s="41"/>
    </row>
    <row r="478" spans="1:8" x14ac:dyDescent="0.3">
      <c r="A478" s="41"/>
      <c r="B478" s="41"/>
      <c r="C478" s="41"/>
      <c r="D478" s="41"/>
      <c r="E478" s="41"/>
      <c r="F478" s="41"/>
      <c r="G478" s="41"/>
      <c r="H478" s="41"/>
    </row>
    <row r="479" spans="1:8" x14ac:dyDescent="0.3">
      <c r="A479" s="41"/>
      <c r="B479" s="41"/>
      <c r="C479" s="41"/>
      <c r="D479" s="41"/>
      <c r="E479" s="41"/>
      <c r="F479" s="41"/>
      <c r="G479" s="41"/>
      <c r="H479" s="41"/>
    </row>
    <row r="480" spans="1:8" x14ac:dyDescent="0.3">
      <c r="A480" s="28" t="s">
        <v>545</v>
      </c>
      <c r="B480" s="41"/>
      <c r="C480" s="41"/>
      <c r="D480" s="41"/>
      <c r="E480" s="41"/>
      <c r="F480" s="41"/>
      <c r="G480" s="41"/>
      <c r="H480" s="41"/>
    </row>
    <row r="481" spans="1:8" ht="124.2" x14ac:dyDescent="0.3">
      <c r="A481" s="41" t="s">
        <v>546</v>
      </c>
      <c r="B481" s="41"/>
      <c r="C481" s="41"/>
      <c r="D481" s="41"/>
      <c r="E481" s="41"/>
      <c r="F481" s="41"/>
      <c r="G481" s="41"/>
      <c r="H481" s="41"/>
    </row>
    <row r="482" spans="1:8" ht="55.2" x14ac:dyDescent="0.3">
      <c r="A482" s="41" t="s">
        <v>547</v>
      </c>
      <c r="B482" s="41"/>
      <c r="C482" s="41"/>
      <c r="D482" s="41"/>
      <c r="E482" s="41"/>
      <c r="F482" s="41"/>
      <c r="G482" s="41"/>
      <c r="H482" s="41"/>
    </row>
    <row r="483" spans="1:8" x14ac:dyDescent="0.3">
      <c r="A483" s="41"/>
      <c r="B483" s="41"/>
      <c r="C483" s="41"/>
      <c r="D483" s="41"/>
      <c r="E483" s="41"/>
      <c r="F483" s="41"/>
      <c r="G483" s="41"/>
      <c r="H483" s="41"/>
    </row>
    <row r="484" spans="1:8" x14ac:dyDescent="0.3">
      <c r="A484" s="9" t="s">
        <v>520</v>
      </c>
      <c r="B484" s="9" t="s">
        <v>113</v>
      </c>
      <c r="C484" s="9" t="s">
        <v>521</v>
      </c>
      <c r="D484" s="9" t="s">
        <v>522</v>
      </c>
      <c r="E484" s="41"/>
      <c r="F484" s="41"/>
      <c r="G484" s="41"/>
      <c r="H484" s="41"/>
    </row>
    <row r="485" spans="1:8" x14ac:dyDescent="0.3">
      <c r="A485" s="41" t="s">
        <v>523</v>
      </c>
      <c r="B485" s="41" t="s">
        <v>524</v>
      </c>
      <c r="C485" s="41" t="s">
        <v>525</v>
      </c>
      <c r="D485" s="41" t="s">
        <v>526</v>
      </c>
      <c r="E485" s="41"/>
      <c r="F485" s="41"/>
      <c r="G485" s="41"/>
      <c r="H485" s="41"/>
    </row>
    <row r="486" spans="1:8" x14ac:dyDescent="0.3">
      <c r="A486" s="41" t="s">
        <v>523</v>
      </c>
      <c r="B486" s="41" t="s">
        <v>117</v>
      </c>
      <c r="C486" s="41" t="s">
        <v>525</v>
      </c>
      <c r="D486" s="41" t="s">
        <v>526</v>
      </c>
      <c r="E486" s="41"/>
      <c r="F486" s="41"/>
      <c r="G486" s="41"/>
      <c r="H486" s="41"/>
    </row>
    <row r="487" spans="1:8" x14ac:dyDescent="0.3">
      <c r="A487" s="41" t="s">
        <v>527</v>
      </c>
      <c r="B487" s="41" t="s">
        <v>528</v>
      </c>
      <c r="C487" s="41" t="s">
        <v>356</v>
      </c>
      <c r="D487" s="41" t="s">
        <v>529</v>
      </c>
      <c r="E487" s="41"/>
      <c r="F487" s="41"/>
      <c r="G487" s="41"/>
      <c r="H487" s="41"/>
    </row>
    <row r="488" spans="1:8" x14ac:dyDescent="0.3">
      <c r="A488" s="41" t="s">
        <v>527</v>
      </c>
      <c r="B488" s="41" t="s">
        <v>530</v>
      </c>
      <c r="C488" s="41" t="s">
        <v>356</v>
      </c>
      <c r="D488" s="41" t="s">
        <v>529</v>
      </c>
      <c r="E488" s="41"/>
      <c r="F488" s="41"/>
      <c r="G488" s="41"/>
      <c r="H488" s="41"/>
    </row>
    <row r="489" spans="1:8" x14ac:dyDescent="0.3">
      <c r="A489" s="41" t="s">
        <v>124</v>
      </c>
      <c r="B489" s="41" t="s">
        <v>531</v>
      </c>
      <c r="C489" s="41" t="s">
        <v>532</v>
      </c>
      <c r="D489" s="41" t="s">
        <v>526</v>
      </c>
      <c r="E489" s="41"/>
      <c r="F489" s="41"/>
      <c r="G489" s="41"/>
      <c r="H489" s="41"/>
    </row>
    <row r="490" spans="1:8" x14ac:dyDescent="0.3">
      <c r="A490" s="41" t="s">
        <v>124</v>
      </c>
      <c r="B490" s="41" t="s">
        <v>533</v>
      </c>
      <c r="C490" s="41" t="s">
        <v>532</v>
      </c>
      <c r="D490" s="41" t="s">
        <v>526</v>
      </c>
      <c r="E490" s="41"/>
      <c r="F490" s="41"/>
      <c r="G490" s="41"/>
      <c r="H490" s="41"/>
    </row>
    <row r="491" spans="1:8" x14ac:dyDescent="0.3">
      <c r="A491" s="41" t="s">
        <v>534</v>
      </c>
      <c r="B491" s="41" t="s">
        <v>535</v>
      </c>
      <c r="C491" s="41" t="s">
        <v>536</v>
      </c>
      <c r="D491" s="41" t="s">
        <v>537</v>
      </c>
      <c r="E491" s="41"/>
    </row>
    <row r="492" spans="1:8" x14ac:dyDescent="0.3">
      <c r="A492" s="41" t="s">
        <v>534</v>
      </c>
      <c r="B492" s="41" t="s">
        <v>538</v>
      </c>
      <c r="C492" s="41" t="s">
        <v>536</v>
      </c>
      <c r="D492" s="41" t="s">
        <v>537</v>
      </c>
      <c r="E492" s="41"/>
    </row>
    <row r="493" spans="1:8" x14ac:dyDescent="0.3">
      <c r="A493" s="41"/>
      <c r="B493" s="41"/>
      <c r="C493" s="41"/>
      <c r="D493" s="41"/>
      <c r="E493" s="41"/>
    </row>
    <row r="494" spans="1:8" x14ac:dyDescent="0.3">
      <c r="A494" s="39" t="s">
        <v>539</v>
      </c>
      <c r="B494" s="41"/>
      <c r="C494" s="41"/>
      <c r="D494" s="41"/>
      <c r="E494" s="41"/>
    </row>
    <row r="495" spans="1:8" x14ac:dyDescent="0.3">
      <c r="A495" s="39" t="s">
        <v>113</v>
      </c>
      <c r="B495" s="39" t="s">
        <v>540</v>
      </c>
      <c r="C495" s="39" t="s">
        <v>541</v>
      </c>
      <c r="D495" s="41"/>
      <c r="E495" s="41"/>
    </row>
    <row r="496" spans="1:8" x14ac:dyDescent="0.3">
      <c r="A496" s="41" t="s">
        <v>530</v>
      </c>
      <c r="B496" s="39" t="str">
        <f>INDEX(A485:A492,MATCH(A496,B485:B492,0))</f>
        <v>Thomas Nguyen</v>
      </c>
      <c r="C496" s="41" t="s">
        <v>542</v>
      </c>
      <c r="D496" s="41"/>
      <c r="E496" s="41"/>
    </row>
    <row r="497" spans="1:5" x14ac:dyDescent="0.3">
      <c r="A497" s="41" t="s">
        <v>535</v>
      </c>
      <c r="B497" s="39" t="str">
        <f>INDEX(A485:A492,MATCH(A497,B485:B492,0))</f>
        <v>David Brown</v>
      </c>
      <c r="C497" s="41" t="s">
        <v>543</v>
      </c>
      <c r="D497" s="41"/>
      <c r="E497" s="41"/>
    </row>
    <row r="498" spans="1:5" x14ac:dyDescent="0.3">
      <c r="A498" s="41" t="s">
        <v>117</v>
      </c>
      <c r="B498" s="39" t="str">
        <f>INDEX(A485:A492,MATCH(A498,B485:B492,0))</f>
        <v>Maria Gomez</v>
      </c>
      <c r="C498" s="41" t="s">
        <v>544</v>
      </c>
      <c r="D498" s="41"/>
      <c r="E498" s="41"/>
    </row>
    <row r="499" spans="1:5" x14ac:dyDescent="0.3">
      <c r="A499" s="41"/>
      <c r="B499" s="41"/>
      <c r="C499" s="41"/>
      <c r="D499" s="41"/>
      <c r="E499" s="41"/>
    </row>
    <row r="500" spans="1:5" x14ac:dyDescent="0.3">
      <c r="A500" s="41"/>
      <c r="B500" s="46" t="str">
        <f ca="1">_xlfn.FORMULATEXT(B496)</f>
        <v>=INDEX(A485:A492,MATCH(A496,B485:B492,0))</v>
      </c>
      <c r="C500" s="46"/>
      <c r="D500" s="41"/>
      <c r="E500" s="41"/>
    </row>
    <row r="501" spans="1:5" x14ac:dyDescent="0.3">
      <c r="A501" s="41"/>
      <c r="B501" s="41"/>
      <c r="C501" s="41"/>
      <c r="D501" s="41"/>
      <c r="E501" s="41"/>
    </row>
    <row r="502" spans="1:5" x14ac:dyDescent="0.3">
      <c r="A502" s="28" t="s">
        <v>548</v>
      </c>
      <c r="B502" s="41"/>
      <c r="C502" s="41"/>
      <c r="D502" s="41"/>
      <c r="E502" s="41"/>
    </row>
    <row r="503" spans="1:5" x14ac:dyDescent="0.3">
      <c r="A503" s="41" t="s">
        <v>549</v>
      </c>
      <c r="B503" s="41"/>
      <c r="C503" s="41"/>
      <c r="D503" s="41"/>
      <c r="E503" s="41"/>
    </row>
    <row r="504" spans="1:5" x14ac:dyDescent="0.3">
      <c r="A504" s="41"/>
      <c r="B504" s="41"/>
      <c r="C504" s="41"/>
      <c r="D504" s="41"/>
      <c r="E504" s="41"/>
    </row>
    <row r="505" spans="1:5" x14ac:dyDescent="0.3">
      <c r="A505" s="41" t="s">
        <v>550</v>
      </c>
    </row>
    <row r="506" spans="1:5" x14ac:dyDescent="0.3">
      <c r="A506" s="41"/>
    </row>
    <row r="507" spans="1:5" x14ac:dyDescent="0.3">
      <c r="A507" s="41" t="s">
        <v>591</v>
      </c>
    </row>
    <row r="508" spans="1:5" x14ac:dyDescent="0.3">
      <c r="A508" s="41" t="s">
        <v>592</v>
      </c>
    </row>
    <row r="509" spans="1:5" x14ac:dyDescent="0.3">
      <c r="A509" s="41"/>
    </row>
    <row r="510" spans="1:5" x14ac:dyDescent="0.3">
      <c r="A510" s="41" t="s">
        <v>593</v>
      </c>
    </row>
    <row r="511" spans="1:5" x14ac:dyDescent="0.3">
      <c r="A511" s="41"/>
    </row>
    <row r="512" spans="1:5" x14ac:dyDescent="0.3">
      <c r="A512" s="41" t="s">
        <v>551</v>
      </c>
    </row>
    <row r="513" spans="1:4" x14ac:dyDescent="0.3">
      <c r="A513" s="41"/>
    </row>
    <row r="514" spans="1:4" x14ac:dyDescent="0.3">
      <c r="A514" s="41" t="s">
        <v>594</v>
      </c>
    </row>
    <row r="515" spans="1:4" x14ac:dyDescent="0.3">
      <c r="A515" s="41" t="s">
        <v>595</v>
      </c>
    </row>
    <row r="516" spans="1:4" x14ac:dyDescent="0.3">
      <c r="A516" s="41"/>
    </row>
    <row r="517" spans="1:4" x14ac:dyDescent="0.3">
      <c r="A517" s="41" t="s">
        <v>552</v>
      </c>
    </row>
    <row r="519" spans="1:4" x14ac:dyDescent="0.3">
      <c r="A519" s="6" t="s">
        <v>553</v>
      </c>
      <c r="B519" s="6" t="s">
        <v>403</v>
      </c>
      <c r="C519" s="6" t="s">
        <v>404</v>
      </c>
      <c r="D519" s="6" t="s">
        <v>554</v>
      </c>
    </row>
    <row r="520" spans="1:4" s="41" customFormat="1" x14ac:dyDescent="0.3">
      <c r="A520" s="41" t="s">
        <v>555</v>
      </c>
      <c r="B520" s="41" t="s">
        <v>556</v>
      </c>
      <c r="C520" s="41" t="s">
        <v>557</v>
      </c>
      <c r="D520" s="41" t="s">
        <v>558</v>
      </c>
    </row>
    <row r="521" spans="1:4" s="41" customFormat="1" x14ac:dyDescent="0.3">
      <c r="A521" s="41" t="s">
        <v>559</v>
      </c>
      <c r="B521" s="41" t="s">
        <v>560</v>
      </c>
      <c r="C521" s="41" t="s">
        <v>561</v>
      </c>
      <c r="D521" s="41" t="s">
        <v>558</v>
      </c>
    </row>
    <row r="522" spans="1:4" s="41" customFormat="1" x14ac:dyDescent="0.3">
      <c r="A522" s="41" t="s">
        <v>562</v>
      </c>
      <c r="B522" s="41" t="s">
        <v>563</v>
      </c>
      <c r="C522" s="41" t="s">
        <v>564</v>
      </c>
      <c r="D522" s="41" t="s">
        <v>565</v>
      </c>
    </row>
    <row r="523" spans="1:4" s="41" customFormat="1" x14ac:dyDescent="0.3">
      <c r="A523" s="41" t="s">
        <v>566</v>
      </c>
      <c r="B523" s="41" t="s">
        <v>567</v>
      </c>
      <c r="C523" s="41" t="s">
        <v>568</v>
      </c>
      <c r="D523" s="41" t="s">
        <v>569</v>
      </c>
    </row>
    <row r="524" spans="1:4" s="41" customFormat="1" x14ac:dyDescent="0.3">
      <c r="A524" s="41" t="s">
        <v>570</v>
      </c>
      <c r="B524" s="41" t="s">
        <v>571</v>
      </c>
      <c r="C524" s="41" t="s">
        <v>572</v>
      </c>
      <c r="D524" s="41" t="s">
        <v>565</v>
      </c>
    </row>
    <row r="525" spans="1:4" s="41" customFormat="1" x14ac:dyDescent="0.3">
      <c r="A525" s="41" t="s">
        <v>573</v>
      </c>
      <c r="B525" s="41" t="s">
        <v>574</v>
      </c>
      <c r="C525" s="41" t="s">
        <v>575</v>
      </c>
      <c r="D525" s="41" t="s">
        <v>558</v>
      </c>
    </row>
    <row r="526" spans="1:4" s="41" customFormat="1" x14ac:dyDescent="0.3">
      <c r="A526" s="41" t="s">
        <v>576</v>
      </c>
      <c r="B526" s="41" t="s">
        <v>577</v>
      </c>
      <c r="C526" s="41" t="s">
        <v>578</v>
      </c>
      <c r="D526" s="41" t="s">
        <v>569</v>
      </c>
    </row>
    <row r="527" spans="1:4" s="41" customFormat="1" x14ac:dyDescent="0.3">
      <c r="A527" s="41" t="s">
        <v>579</v>
      </c>
      <c r="B527" s="41" t="s">
        <v>580</v>
      </c>
      <c r="C527" s="41" t="s">
        <v>581</v>
      </c>
      <c r="D527" s="41" t="s">
        <v>565</v>
      </c>
    </row>
    <row r="528" spans="1:4" x14ac:dyDescent="0.3">
      <c r="A528" s="41"/>
      <c r="B528" s="41"/>
      <c r="C528" s="41"/>
      <c r="D528" s="41"/>
    </row>
    <row r="529" spans="1:5" x14ac:dyDescent="0.3">
      <c r="A529" s="40" t="s">
        <v>582</v>
      </c>
      <c r="B529" s="40" t="s">
        <v>403</v>
      </c>
      <c r="C529" s="40" t="s">
        <v>583</v>
      </c>
      <c r="D529" s="40" t="s">
        <v>584</v>
      </c>
    </row>
    <row r="530" spans="1:5" s="41" customFormat="1" x14ac:dyDescent="0.3">
      <c r="A530" s="41" t="s">
        <v>585</v>
      </c>
      <c r="B530" s="41" t="s">
        <v>577</v>
      </c>
      <c r="C530" s="4" t="str">
        <f>INDEX(A520:A527,MATCH(B530,B520:B527,0))</f>
        <v>ingrid.larsen@northwind.com</v>
      </c>
      <c r="D530" s="41" t="s">
        <v>586</v>
      </c>
    </row>
    <row r="531" spans="1:5" s="41" customFormat="1" x14ac:dyDescent="0.3">
      <c r="A531" s="41" t="s">
        <v>587</v>
      </c>
      <c r="B531" s="41" t="s">
        <v>560</v>
      </c>
      <c r="C531" s="4" t="str">
        <f t="shared" ref="C531:C532" si="19">INDEX(A521:A528,MATCH(B531,B521:B528,0))</f>
        <v>bianca.chen@northwind.com</v>
      </c>
      <c r="D531" s="41" t="s">
        <v>588</v>
      </c>
    </row>
    <row r="532" spans="1:5" s="41" customFormat="1" x14ac:dyDescent="0.3">
      <c r="A532" s="41" t="s">
        <v>589</v>
      </c>
      <c r="B532" s="41" t="s">
        <v>563</v>
      </c>
      <c r="C532" s="4" t="str">
        <f t="shared" si="19"/>
        <v>diego.souza@northwind.com</v>
      </c>
      <c r="D532" s="41" t="s">
        <v>590</v>
      </c>
    </row>
    <row r="533" spans="1:5" s="41" customFormat="1" x14ac:dyDescent="0.3"/>
    <row r="534" spans="1:5" s="41" customFormat="1" x14ac:dyDescent="0.3">
      <c r="C534" s="41" t="str">
        <f ca="1">_xlfn.FORMULATEXT(C530)</f>
        <v>=INDEX(A520:A527,MATCH(B530,B520:B527,0))</v>
      </c>
    </row>
    <row r="536" spans="1:5" x14ac:dyDescent="0.3">
      <c r="A536" s="28" t="s">
        <v>596</v>
      </c>
    </row>
    <row r="537" spans="1:5" ht="124.2" x14ac:dyDescent="0.3">
      <c r="A537" s="2" t="s">
        <v>597</v>
      </c>
    </row>
    <row r="539" spans="1:5" x14ac:dyDescent="0.3">
      <c r="A539" s="6" t="s">
        <v>383</v>
      </c>
      <c r="B539" s="6" t="s">
        <v>598</v>
      </c>
      <c r="C539" s="6" t="s">
        <v>599</v>
      </c>
      <c r="D539" s="6" t="s">
        <v>600</v>
      </c>
      <c r="E539" s="6" t="s">
        <v>601</v>
      </c>
    </row>
    <row r="540" spans="1:5" x14ac:dyDescent="0.3">
      <c r="A540" s="41" t="s">
        <v>602</v>
      </c>
      <c r="B540" s="41">
        <v>5</v>
      </c>
      <c r="C540" s="41">
        <v>7</v>
      </c>
      <c r="D540" s="41">
        <v>10</v>
      </c>
      <c r="E540" s="41">
        <v>14</v>
      </c>
    </row>
    <row r="541" spans="1:5" x14ac:dyDescent="0.3">
      <c r="A541" s="41" t="s">
        <v>603</v>
      </c>
      <c r="B541" s="41">
        <v>9</v>
      </c>
      <c r="C541" s="41">
        <v>12</v>
      </c>
      <c r="D541" s="41">
        <v>16</v>
      </c>
      <c r="E541" s="41">
        <v>22</v>
      </c>
    </row>
    <row r="542" spans="1:5" x14ac:dyDescent="0.3">
      <c r="A542" s="41" t="s">
        <v>604</v>
      </c>
      <c r="B542" s="41">
        <v>14</v>
      </c>
      <c r="C542" s="41">
        <v>19</v>
      </c>
      <c r="D542" s="41">
        <v>28</v>
      </c>
      <c r="E542" s="41">
        <v>40</v>
      </c>
    </row>
    <row r="543" spans="1:5" x14ac:dyDescent="0.3">
      <c r="A543" s="41" t="s">
        <v>605</v>
      </c>
      <c r="B543" s="41">
        <v>24</v>
      </c>
      <c r="C543" s="41">
        <v>33</v>
      </c>
      <c r="D543" s="41">
        <v>48</v>
      </c>
      <c r="E543" s="41">
        <v>68</v>
      </c>
    </row>
    <row r="544" spans="1:5" x14ac:dyDescent="0.3">
      <c r="A544" s="41" t="s">
        <v>606</v>
      </c>
      <c r="B544" s="41">
        <v>30</v>
      </c>
      <c r="C544" s="41">
        <v>42</v>
      </c>
      <c r="D544" s="41">
        <v>60</v>
      </c>
      <c r="E544" s="41">
        <v>85</v>
      </c>
    </row>
    <row r="545" spans="1:5" x14ac:dyDescent="0.3">
      <c r="A545" s="41"/>
      <c r="B545" s="41"/>
      <c r="C545" s="41"/>
      <c r="D545" s="41"/>
      <c r="E545" s="41"/>
    </row>
    <row r="546" spans="1:5" x14ac:dyDescent="0.3">
      <c r="A546" s="41" t="s">
        <v>607</v>
      </c>
      <c r="B546" s="41" t="s">
        <v>604</v>
      </c>
      <c r="C546" s="41"/>
      <c r="D546" s="41"/>
      <c r="E546" s="41"/>
    </row>
    <row r="547" spans="1:5" x14ac:dyDescent="0.3">
      <c r="A547" s="41" t="s">
        <v>608</v>
      </c>
      <c r="B547" s="41" t="s">
        <v>600</v>
      </c>
      <c r="C547" s="41"/>
      <c r="D547" s="41"/>
      <c r="E547" s="41"/>
    </row>
    <row r="548" spans="1:5" x14ac:dyDescent="0.3">
      <c r="A548" s="41" t="s">
        <v>609</v>
      </c>
      <c r="B548" s="4">
        <f>INDEX(B540:E544,MATCH(B546,A540:A544),MATCH(B547,B539:E539,0))</f>
        <v>28</v>
      </c>
      <c r="C548" s="41"/>
      <c r="D548" s="41"/>
      <c r="E548" s="41"/>
    </row>
    <row r="550" spans="1:5" x14ac:dyDescent="0.3">
      <c r="B550" s="47" t="str">
        <f ca="1">_xlfn.FORMULATEXT(B548)</f>
        <v>=INDEX(B540:E544,MATCH(B546,A540:A544),MATCH(B547,B539:E539,0))</v>
      </c>
    </row>
    <row r="551" spans="1:5" x14ac:dyDescent="0.3">
      <c r="B551" s="47"/>
    </row>
    <row r="552" spans="1:5" x14ac:dyDescent="0.3">
      <c r="B552" s="47"/>
    </row>
    <row r="553" spans="1:5" x14ac:dyDescent="0.3">
      <c r="A553" s="28" t="s">
        <v>610</v>
      </c>
    </row>
    <row r="554" spans="1:5" ht="110.4" x14ac:dyDescent="0.3">
      <c r="A554" s="2" t="s">
        <v>611</v>
      </c>
    </row>
    <row r="555" spans="1:5" ht="151.80000000000001" x14ac:dyDescent="0.3">
      <c r="A555" s="2" t="s">
        <v>612</v>
      </c>
    </row>
    <row r="556" spans="1:5" s="2" customFormat="1" x14ac:dyDescent="0.3"/>
    <row r="557" spans="1:5" s="2" customFormat="1" x14ac:dyDescent="0.3">
      <c r="A557" s="2" t="s">
        <v>46</v>
      </c>
      <c r="B557" s="2" t="s">
        <v>314</v>
      </c>
      <c r="C557" s="2" t="s">
        <v>315</v>
      </c>
      <c r="D557" s="2" t="s">
        <v>316</v>
      </c>
      <c r="E557" s="2" t="s">
        <v>317</v>
      </c>
    </row>
    <row r="558" spans="1:5" s="2" customFormat="1" x14ac:dyDescent="0.3">
      <c r="A558" s="2" t="s">
        <v>614</v>
      </c>
      <c r="B558" s="2">
        <v>25.99</v>
      </c>
      <c r="C558" s="2">
        <v>27.49</v>
      </c>
      <c r="D558" s="2">
        <v>26.99</v>
      </c>
      <c r="E558" s="2">
        <v>28.99</v>
      </c>
    </row>
    <row r="559" spans="1:5" s="2" customFormat="1" x14ac:dyDescent="0.3">
      <c r="A559" s="2" t="s">
        <v>615</v>
      </c>
      <c r="B559" s="2">
        <v>34.5</v>
      </c>
      <c r="C559" s="2">
        <v>35</v>
      </c>
      <c r="D559" s="2">
        <v>36.25</v>
      </c>
      <c r="E559" s="2">
        <v>37</v>
      </c>
    </row>
    <row r="560" spans="1:5" s="2" customFormat="1" x14ac:dyDescent="0.3">
      <c r="A560" s="2" t="s">
        <v>617</v>
      </c>
      <c r="B560" s="2">
        <v>18.75</v>
      </c>
      <c r="C560" s="2">
        <v>19.25</v>
      </c>
      <c r="D560" s="2">
        <v>19</v>
      </c>
      <c r="E560" s="2">
        <v>20.5</v>
      </c>
    </row>
    <row r="561" spans="1:5" s="2" customFormat="1" x14ac:dyDescent="0.3">
      <c r="A561" s="2" t="s">
        <v>618</v>
      </c>
      <c r="B561" s="2">
        <v>42</v>
      </c>
      <c r="C561" s="2">
        <v>43.5</v>
      </c>
      <c r="D561" s="2">
        <v>44</v>
      </c>
      <c r="E561" s="2">
        <v>45.25</v>
      </c>
    </row>
    <row r="562" spans="1:5" s="2" customFormat="1" x14ac:dyDescent="0.3">
      <c r="A562" s="2" t="s">
        <v>620</v>
      </c>
      <c r="B562" s="2">
        <v>56.99</v>
      </c>
      <c r="C562" s="2">
        <v>58.49</v>
      </c>
      <c r="D562" s="2">
        <v>59.99</v>
      </c>
      <c r="E562" s="2">
        <v>61.5</v>
      </c>
    </row>
    <row r="563" spans="1:5" s="2" customFormat="1" x14ac:dyDescent="0.3">
      <c r="A563" s="2" t="s">
        <v>621</v>
      </c>
      <c r="B563" s="2">
        <v>12.25</v>
      </c>
      <c r="C563" s="2">
        <v>12.75</v>
      </c>
      <c r="D563" s="2">
        <v>13</v>
      </c>
      <c r="E563" s="2">
        <v>13.5</v>
      </c>
    </row>
    <row r="564" spans="1:5" s="2" customFormat="1" x14ac:dyDescent="0.3">
      <c r="A564" s="2" t="s">
        <v>622</v>
      </c>
      <c r="B564" s="2">
        <v>89.99</v>
      </c>
      <c r="C564" s="2">
        <v>92.5</v>
      </c>
      <c r="D564" s="2">
        <v>94</v>
      </c>
      <c r="E564" s="2">
        <v>96.75</v>
      </c>
    </row>
    <row r="565" spans="1:5" s="2" customFormat="1" x14ac:dyDescent="0.3"/>
    <row r="566" spans="1:5" s="2" customFormat="1" x14ac:dyDescent="0.3"/>
    <row r="567" spans="1:5" s="2" customFormat="1" x14ac:dyDescent="0.3">
      <c r="A567" s="2" t="s">
        <v>613</v>
      </c>
    </row>
    <row r="568" spans="1:5" s="2" customFormat="1" x14ac:dyDescent="0.3">
      <c r="A568" s="2" t="s">
        <v>623</v>
      </c>
      <c r="B568" s="2" t="s">
        <v>618</v>
      </c>
    </row>
    <row r="569" spans="1:5" s="2" customFormat="1" x14ac:dyDescent="0.3">
      <c r="A569" s="2" t="s">
        <v>616</v>
      </c>
      <c r="B569" s="2" t="s">
        <v>316</v>
      </c>
    </row>
    <row r="570" spans="1:5" s="2" customFormat="1" x14ac:dyDescent="0.3"/>
    <row r="571" spans="1:5" s="2" customFormat="1" x14ac:dyDescent="0.3">
      <c r="A571" s="2" t="s">
        <v>619</v>
      </c>
      <c r="B571" s="4" cm="1">
        <f t="array" ref="B571">_xlfn.XLOOKUP(B568,A558:A564,_xlfn.XLOOKUP(B569,B557:E557,B558:E564))</f>
        <v>44</v>
      </c>
    </row>
    <row r="572" spans="1:5" s="2" customFormat="1" ht="13.8" customHeight="1" x14ac:dyDescent="0.3">
      <c r="B572" s="46" t="str">
        <f ca="1">_xlfn.FORMULATEXT(B571)</f>
        <v>=XLOOKUP(B568,A558:A564,XLOOKUP(B569,B557:E557,B558:E564))</v>
      </c>
    </row>
    <row r="573" spans="1:5" s="2" customFormat="1" x14ac:dyDescent="0.3">
      <c r="B573" s="46"/>
    </row>
    <row r="574" spans="1:5" s="2" customFormat="1" x14ac:dyDescent="0.3">
      <c r="B574" s="46"/>
    </row>
    <row r="575" spans="1:5" s="2" customFormat="1" x14ac:dyDescent="0.3">
      <c r="B575" s="42"/>
    </row>
    <row r="576" spans="1:5" s="2" customFormat="1" x14ac:dyDescent="0.3">
      <c r="A576" s="28" t="s">
        <v>624</v>
      </c>
      <c r="B576" s="43"/>
    </row>
    <row r="577" spans="1:7" s="2" customFormat="1" ht="41.4" x14ac:dyDescent="0.3">
      <c r="A577" s="2" t="s">
        <v>625</v>
      </c>
    </row>
    <row r="578" spans="1:7" s="2" customFormat="1" ht="82.8" x14ac:dyDescent="0.3">
      <c r="A578" s="2" t="s">
        <v>626</v>
      </c>
    </row>
    <row r="579" spans="1:7" s="2" customFormat="1" x14ac:dyDescent="0.3"/>
    <row r="580" spans="1:7" s="2" customFormat="1" x14ac:dyDescent="0.3">
      <c r="A580" s="45" t="s">
        <v>627</v>
      </c>
    </row>
    <row r="581" spans="1:7" s="2" customFormat="1" ht="41.4" x14ac:dyDescent="0.3">
      <c r="B581" s="45" t="s">
        <v>628</v>
      </c>
    </row>
    <row r="582" spans="1:7" s="2" customFormat="1" x14ac:dyDescent="0.3">
      <c r="A582" s="45" t="s">
        <v>403</v>
      </c>
      <c r="B582" s="44">
        <v>1004</v>
      </c>
    </row>
    <row r="583" spans="1:7" s="2" customFormat="1" x14ac:dyDescent="0.3">
      <c r="C583" s="45" t="s">
        <v>629</v>
      </c>
      <c r="D583" s="45" t="s">
        <v>553</v>
      </c>
      <c r="E583" s="45" t="s">
        <v>630</v>
      </c>
    </row>
    <row r="584" spans="1:7" s="2" customFormat="1" x14ac:dyDescent="0.3">
      <c r="C584" s="2" t="str" cm="1">
        <f t="array" ref="C584:E584">_xlfn.XLOOKUP(B582,A588:A594,B588:D594)</f>
        <v>Keira Lewis</v>
      </c>
      <c r="D584" s="2" t="str">
        <v>keira.lewis@northwind.com</v>
      </c>
      <c r="E584" s="2" t="str">
        <v>(555) 010-1188</v>
      </c>
    </row>
    <row r="585" spans="1:7" s="2" customFormat="1" x14ac:dyDescent="0.3">
      <c r="C585" s="2" t="str">
        <f ca="1">_xlfn.FORMULATEXT(C584)</f>
        <v>=XLOOKUP(B582,A588:A594,B588:D594)</v>
      </c>
    </row>
    <row r="586" spans="1:7" s="2" customFormat="1" x14ac:dyDescent="0.3">
      <c r="A586" s="45" t="s">
        <v>634</v>
      </c>
    </row>
    <row r="587" spans="1:7" s="2" customFormat="1" x14ac:dyDescent="0.3">
      <c r="A587" s="45" t="s">
        <v>403</v>
      </c>
      <c r="B587" s="45" t="s">
        <v>629</v>
      </c>
      <c r="C587" s="45" t="s">
        <v>553</v>
      </c>
      <c r="D587" s="45" t="s">
        <v>630</v>
      </c>
      <c r="E587" s="45" t="s">
        <v>554</v>
      </c>
    </row>
    <row r="588" spans="1:7" s="2" customFormat="1" x14ac:dyDescent="0.3">
      <c r="A588" s="2">
        <v>1001</v>
      </c>
      <c r="B588" s="2" t="s">
        <v>524</v>
      </c>
      <c r="C588" s="2" t="s">
        <v>635</v>
      </c>
      <c r="D588" s="2" t="s">
        <v>636</v>
      </c>
      <c r="E588" s="2" t="s">
        <v>637</v>
      </c>
    </row>
    <row r="589" spans="1:7" s="2" customFormat="1" x14ac:dyDescent="0.3">
      <c r="A589" s="2">
        <v>1002</v>
      </c>
      <c r="B589" s="2" t="s">
        <v>530</v>
      </c>
      <c r="C589" s="2" t="s">
        <v>638</v>
      </c>
      <c r="D589" s="2" t="s">
        <v>639</v>
      </c>
      <c r="E589" s="2" t="s">
        <v>637</v>
      </c>
    </row>
    <row r="590" spans="1:7" s="2" customFormat="1" x14ac:dyDescent="0.3">
      <c r="A590" s="2">
        <v>1003</v>
      </c>
      <c r="B590" s="2" t="s">
        <v>640</v>
      </c>
      <c r="C590" s="2" t="s">
        <v>641</v>
      </c>
      <c r="D590" s="2" t="s">
        <v>642</v>
      </c>
      <c r="E590" s="2" t="s">
        <v>643</v>
      </c>
    </row>
    <row r="591" spans="1:7" s="2" customFormat="1" x14ac:dyDescent="0.3">
      <c r="A591" s="2">
        <v>1004</v>
      </c>
      <c r="B591" s="2" t="s">
        <v>631</v>
      </c>
      <c r="C591" s="2" t="s">
        <v>632</v>
      </c>
      <c r="D591" s="2" t="s">
        <v>633</v>
      </c>
      <c r="E591" s="2" t="s">
        <v>643</v>
      </c>
    </row>
    <row r="592" spans="1:7" x14ac:dyDescent="0.3">
      <c r="A592" s="2">
        <v>1005</v>
      </c>
      <c r="B592" s="2" t="s">
        <v>531</v>
      </c>
      <c r="C592" s="2" t="s">
        <v>644</v>
      </c>
      <c r="D592" s="2" t="s">
        <v>645</v>
      </c>
      <c r="E592" s="2" t="s">
        <v>637</v>
      </c>
      <c r="F592" s="2"/>
      <c r="G592" s="2"/>
    </row>
    <row r="593" spans="1:7" x14ac:dyDescent="0.3">
      <c r="A593" s="2">
        <v>1006</v>
      </c>
      <c r="B593" s="2" t="s">
        <v>646</v>
      </c>
      <c r="C593" s="2" t="s">
        <v>647</v>
      </c>
      <c r="D593" s="2" t="s">
        <v>648</v>
      </c>
      <c r="E593" s="2" t="s">
        <v>637</v>
      </c>
      <c r="F593" s="2"/>
      <c r="G593" s="2"/>
    </row>
    <row r="594" spans="1:7" x14ac:dyDescent="0.3">
      <c r="A594" s="2">
        <v>1007</v>
      </c>
      <c r="B594" s="2" t="s">
        <v>120</v>
      </c>
      <c r="C594" s="2" t="s">
        <v>649</v>
      </c>
      <c r="D594" s="2" t="s">
        <v>650</v>
      </c>
      <c r="E594" s="2" t="s">
        <v>569</v>
      </c>
      <c r="F594" s="2"/>
      <c r="G594" s="2"/>
    </row>
    <row r="595" spans="1:7" x14ac:dyDescent="0.3">
      <c r="A595" s="2"/>
      <c r="B595" s="2"/>
      <c r="C595" s="2"/>
      <c r="D595" s="2"/>
      <c r="E595" s="2"/>
      <c r="F595" s="2"/>
      <c r="G595" s="2"/>
    </row>
    <row r="596" spans="1:7" x14ac:dyDescent="0.3">
      <c r="A596" s="28" t="s">
        <v>651</v>
      </c>
      <c r="B596" s="2"/>
      <c r="C596" s="2"/>
      <c r="D596" s="2"/>
      <c r="E596" s="2"/>
      <c r="F596" s="2"/>
      <c r="G596" s="2"/>
    </row>
    <row r="597" spans="1:7" ht="82.8" x14ac:dyDescent="0.3">
      <c r="A597" s="2" t="s">
        <v>652</v>
      </c>
      <c r="B597" s="2"/>
      <c r="C597" s="2"/>
      <c r="D597" s="2"/>
      <c r="E597" s="2"/>
      <c r="F597" s="2"/>
      <c r="G597" s="2"/>
    </row>
    <row r="598" spans="1:7" ht="207" x14ac:dyDescent="0.3">
      <c r="A598" s="2" t="s">
        <v>653</v>
      </c>
      <c r="B598" s="2"/>
      <c r="C598" s="2"/>
      <c r="D598" s="2"/>
      <c r="E598" s="2"/>
      <c r="F598" s="2"/>
      <c r="G598" s="2"/>
    </row>
    <row r="599" spans="1:7" s="2" customFormat="1" x14ac:dyDescent="0.3"/>
    <row r="600" spans="1:7" s="2" customFormat="1" x14ac:dyDescent="0.3">
      <c r="A600" s="2" t="s">
        <v>654</v>
      </c>
      <c r="B600" s="50" t="s">
        <v>8</v>
      </c>
      <c r="C600" s="50" t="s">
        <v>655</v>
      </c>
      <c r="D600" s="50" t="s">
        <v>656</v>
      </c>
    </row>
    <row r="601" spans="1:7" s="2" customFormat="1" x14ac:dyDescent="0.3">
      <c r="A601" s="2" t="s">
        <v>657</v>
      </c>
      <c r="B601" s="2">
        <v>12</v>
      </c>
      <c r="C601" s="2">
        <v>3200</v>
      </c>
      <c r="D601" s="2" t="b">
        <f>AND(B601&gt;=$B$608,C601&gt;=$D$608)</f>
        <v>1</v>
      </c>
    </row>
    <row r="602" spans="1:7" s="2" customFormat="1" x14ac:dyDescent="0.3">
      <c r="A602" s="2" t="s">
        <v>658</v>
      </c>
      <c r="B602" s="2">
        <v>9</v>
      </c>
      <c r="C602" s="2">
        <v>2800</v>
      </c>
      <c r="D602" s="2" t="b">
        <f t="shared" ref="D602:D606" si="20">AND(B602&gt;=$B$608,C602&gt;=$D$608)</f>
        <v>0</v>
      </c>
    </row>
    <row r="603" spans="1:7" s="2" customFormat="1" x14ac:dyDescent="0.3">
      <c r="A603" s="2" t="s">
        <v>659</v>
      </c>
      <c r="B603" s="2">
        <v>10</v>
      </c>
      <c r="C603" s="2">
        <v>2400</v>
      </c>
      <c r="D603" s="2" t="b">
        <f t="shared" si="20"/>
        <v>0</v>
      </c>
    </row>
    <row r="604" spans="1:7" s="2" customFormat="1" x14ac:dyDescent="0.3">
      <c r="A604" s="2" t="s">
        <v>660</v>
      </c>
      <c r="B604" s="2">
        <v>15</v>
      </c>
      <c r="C604" s="2">
        <v>5100</v>
      </c>
      <c r="D604" s="2" t="b">
        <f t="shared" si="20"/>
        <v>1</v>
      </c>
    </row>
    <row r="605" spans="1:7" s="2" customFormat="1" x14ac:dyDescent="0.3">
      <c r="A605" s="2" t="s">
        <v>661</v>
      </c>
      <c r="B605" s="2">
        <v>7</v>
      </c>
      <c r="C605" s="2">
        <v>1800</v>
      </c>
      <c r="D605" s="2" t="b">
        <f t="shared" si="20"/>
        <v>0</v>
      </c>
    </row>
    <row r="606" spans="1:7" s="2" customFormat="1" x14ac:dyDescent="0.3">
      <c r="A606" s="2" t="s">
        <v>662</v>
      </c>
      <c r="B606" s="2">
        <v>11</v>
      </c>
      <c r="C606" s="2">
        <v>2500</v>
      </c>
      <c r="D606" s="2" t="b">
        <f t="shared" si="20"/>
        <v>1</v>
      </c>
    </row>
    <row r="607" spans="1:7" s="2" customFormat="1" x14ac:dyDescent="0.3"/>
    <row r="608" spans="1:7" s="2" customFormat="1" x14ac:dyDescent="0.3">
      <c r="A608" s="49" t="s">
        <v>663</v>
      </c>
      <c r="B608" s="50">
        <v>10</v>
      </c>
      <c r="C608" s="49" t="s">
        <v>664</v>
      </c>
      <c r="D608" s="50">
        <v>2500</v>
      </c>
    </row>
    <row r="609" spans="1:6" s="2" customFormat="1" x14ac:dyDescent="0.3"/>
    <row r="610" spans="1:6" s="2" customFormat="1" x14ac:dyDescent="0.3">
      <c r="C610" s="2" t="str">
        <f ca="1">_xlfn.FORMULATEXT(D601)</f>
        <v>=AND(B601&gt;=$B$608,C601&gt;=$D$608)</v>
      </c>
    </row>
    <row r="612" spans="1:6" x14ac:dyDescent="0.3">
      <c r="A612" s="28" t="s">
        <v>665</v>
      </c>
    </row>
    <row r="613" spans="1:6" ht="151.80000000000001" x14ac:dyDescent="0.3">
      <c r="A613" s="2" t="s">
        <v>666</v>
      </c>
    </row>
    <row r="615" spans="1:6" x14ac:dyDescent="0.3">
      <c r="A615" s="6" t="s">
        <v>104</v>
      </c>
      <c r="B615" s="6" t="s">
        <v>667</v>
      </c>
      <c r="C615" s="6" t="s">
        <v>305</v>
      </c>
      <c r="D615" s="6" t="s">
        <v>105</v>
      </c>
      <c r="E615" s="6" t="s">
        <v>668</v>
      </c>
      <c r="F615" s="51" t="s">
        <v>669</v>
      </c>
    </row>
    <row r="616" spans="1:6" x14ac:dyDescent="0.3">
      <c r="A616" s="41">
        <v>10021</v>
      </c>
      <c r="B616" s="41" t="s">
        <v>637</v>
      </c>
      <c r="C616" s="41" t="s">
        <v>670</v>
      </c>
      <c r="D616" s="16">
        <v>45932</v>
      </c>
      <c r="E616" s="41">
        <v>8500</v>
      </c>
      <c r="F616" s="4" t="str">
        <f>IF(OR(E616&gt;10000,B616="VIP"),"High","Standard")</f>
        <v>Standard</v>
      </c>
    </row>
    <row r="617" spans="1:6" x14ac:dyDescent="0.3">
      <c r="A617" s="41">
        <v>10022</v>
      </c>
      <c r="B617" s="41" t="s">
        <v>671</v>
      </c>
      <c r="C617" s="41" t="s">
        <v>672</v>
      </c>
      <c r="D617" s="16">
        <v>45933</v>
      </c>
      <c r="E617" s="41">
        <v>4200</v>
      </c>
      <c r="F617" s="4" t="str">
        <f t="shared" ref="F617:F625" si="21">IF(OR(E617&gt;10000,B617="VIP"),"High","Standard")</f>
        <v>High</v>
      </c>
    </row>
    <row r="618" spans="1:6" x14ac:dyDescent="0.3">
      <c r="A618" s="41">
        <v>10023</v>
      </c>
      <c r="B618" s="41" t="s">
        <v>637</v>
      </c>
      <c r="C618" s="41" t="s">
        <v>673</v>
      </c>
      <c r="D618" s="16">
        <v>45933</v>
      </c>
      <c r="E618" s="41">
        <v>12500</v>
      </c>
      <c r="F618" s="4" t="str">
        <f t="shared" si="21"/>
        <v>High</v>
      </c>
    </row>
    <row r="619" spans="1:6" x14ac:dyDescent="0.3">
      <c r="A619" s="41">
        <v>10024</v>
      </c>
      <c r="B619" s="41" t="s">
        <v>637</v>
      </c>
      <c r="C619" s="41" t="s">
        <v>674</v>
      </c>
      <c r="D619" s="16">
        <v>45934</v>
      </c>
      <c r="E619" s="41">
        <v>9999</v>
      </c>
      <c r="F619" s="4" t="str">
        <f t="shared" si="21"/>
        <v>Standard</v>
      </c>
    </row>
    <row r="620" spans="1:6" x14ac:dyDescent="0.3">
      <c r="A620" s="41">
        <v>10025</v>
      </c>
      <c r="B620" s="41" t="s">
        <v>671</v>
      </c>
      <c r="C620" s="41" t="s">
        <v>670</v>
      </c>
      <c r="D620" s="16">
        <v>45934</v>
      </c>
      <c r="E620" s="41">
        <v>10000</v>
      </c>
      <c r="F620" s="4" t="str">
        <f t="shared" si="21"/>
        <v>High</v>
      </c>
    </row>
    <row r="621" spans="1:6" x14ac:dyDescent="0.3">
      <c r="A621" s="41">
        <v>10026</v>
      </c>
      <c r="B621" s="41" t="s">
        <v>637</v>
      </c>
      <c r="C621" s="41" t="s">
        <v>672</v>
      </c>
      <c r="D621" s="16">
        <v>45935</v>
      </c>
      <c r="E621" s="41">
        <v>10001</v>
      </c>
      <c r="F621" s="4" t="str">
        <f t="shared" si="21"/>
        <v>High</v>
      </c>
    </row>
    <row r="622" spans="1:6" x14ac:dyDescent="0.3">
      <c r="A622" s="41">
        <v>10027</v>
      </c>
      <c r="B622" s="41" t="s">
        <v>637</v>
      </c>
      <c r="C622" s="41" t="s">
        <v>673</v>
      </c>
      <c r="D622" s="16">
        <v>45936</v>
      </c>
      <c r="E622" s="41">
        <v>17500</v>
      </c>
      <c r="F622" s="4" t="str">
        <f t="shared" si="21"/>
        <v>High</v>
      </c>
    </row>
    <row r="623" spans="1:6" x14ac:dyDescent="0.3">
      <c r="A623" s="41">
        <v>10028</v>
      </c>
      <c r="B623" s="41" t="s">
        <v>637</v>
      </c>
      <c r="C623" s="41" t="s">
        <v>674</v>
      </c>
      <c r="D623" s="16">
        <v>45936</v>
      </c>
      <c r="E623" s="41">
        <v>5400</v>
      </c>
      <c r="F623" s="4" t="str">
        <f t="shared" si="21"/>
        <v>Standard</v>
      </c>
    </row>
    <row r="624" spans="1:6" x14ac:dyDescent="0.3">
      <c r="A624" s="41">
        <v>10029</v>
      </c>
      <c r="B624" s="41" t="s">
        <v>671</v>
      </c>
      <c r="C624" s="41" t="s">
        <v>672</v>
      </c>
      <c r="D624" s="16">
        <v>45937</v>
      </c>
      <c r="E624" s="41">
        <v>15000</v>
      </c>
      <c r="F624" s="4" t="str">
        <f t="shared" si="21"/>
        <v>High</v>
      </c>
    </row>
    <row r="625" spans="1:7" x14ac:dyDescent="0.3">
      <c r="A625" s="41">
        <v>10030</v>
      </c>
      <c r="B625" s="41" t="s">
        <v>637</v>
      </c>
      <c r="C625" s="41" t="s">
        <v>670</v>
      </c>
      <c r="D625" s="16">
        <v>45937</v>
      </c>
      <c r="E625" s="41">
        <v>10250</v>
      </c>
      <c r="F625" s="4" t="str">
        <f t="shared" si="21"/>
        <v>High</v>
      </c>
    </row>
    <row r="627" spans="1:7" ht="27.6" customHeight="1" x14ac:dyDescent="0.3">
      <c r="A627" s="2"/>
      <c r="B627" s="2"/>
      <c r="C627" s="2"/>
      <c r="D627" s="2"/>
      <c r="E627" s="46" t="str">
        <f ca="1">_xlfn.FORMULATEXT(F616)</f>
        <v>=IF(OR(E616&gt;10000,B616="VIP"),"High","Standard")</v>
      </c>
      <c r="F627" s="46"/>
      <c r="G627" s="2"/>
    </row>
    <row r="628" spans="1:7" x14ac:dyDescent="0.3">
      <c r="A628" s="28" t="s">
        <v>675</v>
      </c>
      <c r="B628" s="2"/>
      <c r="C628" s="2"/>
      <c r="D628" s="2"/>
      <c r="E628" s="2"/>
      <c r="F628" s="2"/>
      <c r="G628" s="2"/>
    </row>
    <row r="629" spans="1:7" x14ac:dyDescent="0.3">
      <c r="A629" s="2" t="s">
        <v>676</v>
      </c>
      <c r="B629" s="2"/>
      <c r="C629" s="2"/>
      <c r="D629" s="2"/>
      <c r="E629" s="2"/>
      <c r="F629" s="2"/>
      <c r="G629" s="2"/>
    </row>
    <row r="630" spans="1:7" x14ac:dyDescent="0.3">
      <c r="A630" s="2"/>
      <c r="B630" s="2"/>
      <c r="C630" s="2"/>
      <c r="D630" s="2"/>
      <c r="E630" s="2"/>
      <c r="F630" s="2"/>
      <c r="G630" s="2"/>
    </row>
    <row r="631" spans="1:7" x14ac:dyDescent="0.3">
      <c r="A631" s="2" t="s">
        <v>678</v>
      </c>
      <c r="B631" s="2"/>
      <c r="C631" s="2"/>
      <c r="D631" s="2"/>
      <c r="E631" s="2"/>
      <c r="F631" s="2"/>
      <c r="G631" s="2"/>
    </row>
    <row r="632" spans="1:7" x14ac:dyDescent="0.3">
      <c r="A632" s="2"/>
      <c r="B632" s="2"/>
      <c r="C632" s="2"/>
      <c r="D632" s="2"/>
      <c r="E632" s="2"/>
      <c r="F632" s="2"/>
      <c r="G632" s="2"/>
    </row>
    <row r="633" spans="1:7" x14ac:dyDescent="0.3">
      <c r="A633" s="2" t="s">
        <v>677</v>
      </c>
      <c r="B633" s="2"/>
      <c r="C633" s="2"/>
      <c r="D633" s="2"/>
      <c r="E633" s="2"/>
      <c r="F633" s="2"/>
      <c r="G633" s="2"/>
    </row>
    <row r="634" spans="1:7" x14ac:dyDescent="0.3">
      <c r="A634" s="2"/>
      <c r="B634" s="2"/>
      <c r="C634" s="2"/>
      <c r="D634" s="2"/>
      <c r="E634" s="2"/>
      <c r="F634" s="2"/>
      <c r="G634" s="2"/>
    </row>
    <row r="635" spans="1:7" x14ac:dyDescent="0.3">
      <c r="A635" s="2" t="s">
        <v>679</v>
      </c>
      <c r="B635" s="2"/>
      <c r="C635" s="2"/>
      <c r="D635" s="2"/>
      <c r="E635" s="2"/>
      <c r="F635" s="2"/>
      <c r="G635" s="2"/>
    </row>
    <row r="636" spans="1:7" x14ac:dyDescent="0.3">
      <c r="A636" s="2" t="s">
        <v>680</v>
      </c>
      <c r="B636" s="2"/>
      <c r="C636" s="2"/>
      <c r="D636" s="2"/>
      <c r="E636" s="2"/>
      <c r="F636" s="2"/>
      <c r="G636" s="2"/>
    </row>
    <row r="637" spans="1:7" x14ac:dyDescent="0.3">
      <c r="A637" s="2" t="s">
        <v>681</v>
      </c>
      <c r="B637" s="2"/>
      <c r="C637" s="2"/>
      <c r="D637" s="2"/>
      <c r="E637" s="2"/>
      <c r="F637" s="2"/>
      <c r="G637" s="2"/>
    </row>
    <row r="638" spans="1:7" x14ac:dyDescent="0.3">
      <c r="A638" s="2" t="s">
        <v>682</v>
      </c>
      <c r="B638" s="2"/>
      <c r="C638" s="2"/>
      <c r="D638" s="2"/>
      <c r="E638" s="2"/>
      <c r="F638" s="2"/>
      <c r="G638" s="2"/>
    </row>
    <row r="639" spans="1:7" x14ac:dyDescent="0.3">
      <c r="A639" s="2" t="s">
        <v>683</v>
      </c>
      <c r="B639" s="2"/>
      <c r="C639" s="2"/>
      <c r="D639" s="2"/>
      <c r="E639" s="2"/>
      <c r="F639" s="2"/>
      <c r="G639" s="2"/>
    </row>
    <row r="640" spans="1:7" x14ac:dyDescent="0.3">
      <c r="A640" s="2"/>
      <c r="B640" s="2"/>
      <c r="C640" s="2"/>
      <c r="D640" s="2"/>
      <c r="E640" s="2"/>
      <c r="F640" s="2"/>
      <c r="G640" s="2"/>
    </row>
    <row r="641" spans="1:7" x14ac:dyDescent="0.3">
      <c r="A641" s="45" t="s">
        <v>684</v>
      </c>
      <c r="B641" s="45" t="s">
        <v>685</v>
      </c>
      <c r="C641" s="45" t="s">
        <v>686</v>
      </c>
      <c r="D641" s="45" t="s">
        <v>687</v>
      </c>
      <c r="E641" s="45" t="s">
        <v>688</v>
      </c>
      <c r="F641" s="2"/>
      <c r="G641" s="2"/>
    </row>
    <row r="642" spans="1:7" x14ac:dyDescent="0.3">
      <c r="A642" s="2" t="s">
        <v>689</v>
      </c>
      <c r="B642" s="2">
        <v>745</v>
      </c>
      <c r="C642" s="2">
        <v>82000</v>
      </c>
      <c r="D642" s="2">
        <v>15000</v>
      </c>
      <c r="E642" s="2" t="str">
        <f>IF(AND(B642&gt;700,C642&gt;50000),"Approve","Decline")</f>
        <v>Approve</v>
      </c>
      <c r="F642" s="2"/>
      <c r="G642" s="2"/>
    </row>
    <row r="643" spans="1:7" x14ac:dyDescent="0.3">
      <c r="A643" s="2" t="s">
        <v>535</v>
      </c>
      <c r="B643" s="2">
        <v>702</v>
      </c>
      <c r="C643" s="2">
        <v>51000</v>
      </c>
      <c r="D643" s="2">
        <v>12000</v>
      </c>
      <c r="E643" s="2" t="str">
        <f t="shared" ref="E643:E651" si="22">IF(AND(B643&gt;700,C643&gt;50000),"Approve","Decline")</f>
        <v>Approve</v>
      </c>
      <c r="F643" s="2"/>
      <c r="G643" s="2"/>
    </row>
    <row r="644" spans="1:7" x14ac:dyDescent="0.3">
      <c r="A644" s="2" t="s">
        <v>531</v>
      </c>
      <c r="B644" s="2">
        <v>701</v>
      </c>
      <c r="C644" s="2">
        <v>50000</v>
      </c>
      <c r="D644" s="2">
        <v>8000</v>
      </c>
      <c r="E644" s="2" t="str">
        <f t="shared" si="22"/>
        <v>Decline</v>
      </c>
      <c r="F644" s="2"/>
      <c r="G644" s="2"/>
    </row>
    <row r="645" spans="1:7" x14ac:dyDescent="0.3">
      <c r="A645" s="2" t="s">
        <v>690</v>
      </c>
      <c r="B645" s="2">
        <v>700</v>
      </c>
      <c r="C645" s="2">
        <v>65000</v>
      </c>
      <c r="D645" s="2">
        <v>20000</v>
      </c>
      <c r="E645" s="2" t="str">
        <f t="shared" si="22"/>
        <v>Decline</v>
      </c>
      <c r="F645" s="2"/>
      <c r="G645" s="2"/>
    </row>
    <row r="646" spans="1:7" x14ac:dyDescent="0.3">
      <c r="A646" s="2" t="s">
        <v>691</v>
      </c>
      <c r="B646" s="2">
        <v>680</v>
      </c>
      <c r="C646" s="2">
        <v>90000</v>
      </c>
      <c r="D646" s="2">
        <v>10000</v>
      </c>
      <c r="E646" s="2" t="str">
        <f t="shared" si="22"/>
        <v>Decline</v>
      </c>
      <c r="F646" s="2"/>
      <c r="G646" s="2"/>
    </row>
    <row r="647" spans="1:7" x14ac:dyDescent="0.3">
      <c r="A647" s="2" t="s">
        <v>692</v>
      </c>
      <c r="B647" s="2">
        <v>780</v>
      </c>
      <c r="C647" s="2">
        <v>48000</v>
      </c>
      <c r="D647" s="2">
        <v>5000</v>
      </c>
      <c r="E647" s="2" t="str">
        <f t="shared" si="22"/>
        <v>Decline</v>
      </c>
      <c r="F647" s="2"/>
      <c r="G647" s="2"/>
    </row>
    <row r="648" spans="1:7" x14ac:dyDescent="0.3">
      <c r="A648" s="2" t="s">
        <v>693</v>
      </c>
      <c r="B648" s="2">
        <v>720</v>
      </c>
      <c r="C648" s="2">
        <v>52000</v>
      </c>
      <c r="D648" s="2">
        <v>25000</v>
      </c>
      <c r="E648" s="2" t="str">
        <f t="shared" si="22"/>
        <v>Approve</v>
      </c>
      <c r="F648" s="2"/>
      <c r="G648" s="2"/>
    </row>
    <row r="649" spans="1:7" x14ac:dyDescent="0.3">
      <c r="A649" s="2" t="s">
        <v>694</v>
      </c>
      <c r="B649" s="2">
        <v>715</v>
      </c>
      <c r="C649" s="2">
        <v>50500</v>
      </c>
      <c r="D649" s="2">
        <v>18000</v>
      </c>
      <c r="E649" s="2" t="str">
        <f t="shared" si="22"/>
        <v>Approve</v>
      </c>
      <c r="F649" s="2"/>
      <c r="G649" s="2"/>
    </row>
    <row r="650" spans="1:7" x14ac:dyDescent="0.3">
      <c r="A650" s="2" t="s">
        <v>695</v>
      </c>
      <c r="B650" s="2">
        <v>699</v>
      </c>
      <c r="C650" s="2">
        <v>51000</v>
      </c>
      <c r="D650" s="2">
        <v>7000</v>
      </c>
      <c r="E650" s="2" t="str">
        <f t="shared" si="22"/>
        <v>Decline</v>
      </c>
      <c r="F650" s="2"/>
      <c r="G650" s="2"/>
    </row>
    <row r="651" spans="1:7" x14ac:dyDescent="0.3">
      <c r="A651" s="2" t="s">
        <v>696</v>
      </c>
      <c r="B651" s="2">
        <v>730</v>
      </c>
      <c r="C651" s="2">
        <v>50001</v>
      </c>
      <c r="D651" s="2">
        <v>16000</v>
      </c>
      <c r="E651" s="2" t="str">
        <f t="shared" si="22"/>
        <v>Approve</v>
      </c>
      <c r="F651" s="2"/>
      <c r="G651" s="2"/>
    </row>
    <row r="652" spans="1:7" x14ac:dyDescent="0.3">
      <c r="A652" s="2"/>
      <c r="B652" s="2"/>
      <c r="C652" s="2"/>
      <c r="D652" s="2"/>
      <c r="E652" s="2"/>
      <c r="F652" s="2"/>
      <c r="G652" s="2"/>
    </row>
    <row r="653" spans="1:7" x14ac:dyDescent="0.3">
      <c r="A653" s="2"/>
      <c r="B653" s="2"/>
      <c r="C653" s="2"/>
      <c r="D653" s="52" t="str">
        <f ca="1">_xlfn.FORMULATEXT(E642)</f>
        <v>=IF(AND(B642&gt;700,C642&gt;50000),"Approve","Decline")</v>
      </c>
      <c r="E653" s="52"/>
      <c r="F653" s="2"/>
      <c r="G653" s="2"/>
    </row>
    <row r="654" spans="1:7" x14ac:dyDescent="0.3">
      <c r="A654" s="2"/>
      <c r="B654" s="2"/>
      <c r="C654" s="2"/>
      <c r="F654" s="2"/>
      <c r="G654" s="2"/>
    </row>
    <row r="655" spans="1:7" x14ac:dyDescent="0.3">
      <c r="A655" s="2"/>
      <c r="B655" s="2"/>
      <c r="C655" s="2"/>
      <c r="D655" s="2"/>
      <c r="E655" s="2"/>
      <c r="F655" s="2"/>
      <c r="G655" s="2"/>
    </row>
    <row r="656" spans="1:7" x14ac:dyDescent="0.3">
      <c r="A656" s="2"/>
      <c r="B656" s="2"/>
      <c r="C656" s="2"/>
      <c r="D656" s="2"/>
      <c r="E656" s="2"/>
      <c r="F656" s="2"/>
      <c r="G656" s="2"/>
    </row>
    <row r="657" spans="1:7" x14ac:dyDescent="0.3">
      <c r="A657" s="2"/>
      <c r="B657" s="2"/>
      <c r="C657" s="2"/>
      <c r="D657" s="2"/>
      <c r="E657" s="2"/>
      <c r="F657" s="2"/>
      <c r="G657" s="2"/>
    </row>
    <row r="658" spans="1:7" x14ac:dyDescent="0.3">
      <c r="A658" s="2"/>
      <c r="B658" s="2"/>
      <c r="C658" s="2"/>
      <c r="D658" s="2"/>
      <c r="E658" s="2"/>
      <c r="F658" s="2"/>
      <c r="G658" s="2"/>
    </row>
    <row r="659" spans="1:7" x14ac:dyDescent="0.3">
      <c r="A659" s="2"/>
      <c r="B659" s="2"/>
      <c r="C659" s="2"/>
      <c r="D659" s="2"/>
      <c r="E659" s="2"/>
      <c r="F659" s="2"/>
      <c r="G659" s="2"/>
    </row>
    <row r="660" spans="1:7" x14ac:dyDescent="0.3">
      <c r="A660" s="2"/>
      <c r="B660" s="2"/>
      <c r="C660" s="2"/>
      <c r="D660" s="2"/>
      <c r="E660" s="2"/>
      <c r="F660" s="2"/>
      <c r="G660" s="2"/>
    </row>
    <row r="661" spans="1:7" x14ac:dyDescent="0.3">
      <c r="A661" s="2"/>
      <c r="B661" s="2"/>
      <c r="C661" s="2"/>
      <c r="D661" s="2"/>
      <c r="E661" s="2"/>
      <c r="F661" s="2"/>
      <c r="G661" s="2"/>
    </row>
    <row r="662" spans="1:7" x14ac:dyDescent="0.3">
      <c r="A662" s="2"/>
      <c r="B662" s="2"/>
      <c r="C662" s="2"/>
      <c r="D662" s="2"/>
      <c r="E662" s="2"/>
      <c r="F662" s="2"/>
      <c r="G662" s="2"/>
    </row>
    <row r="663" spans="1:7" x14ac:dyDescent="0.3">
      <c r="A663" s="2"/>
      <c r="B663" s="2"/>
      <c r="C663" s="2"/>
      <c r="D663" s="2"/>
      <c r="E663" s="2"/>
      <c r="F663" s="2"/>
      <c r="G663" s="2"/>
    </row>
    <row r="664" spans="1:7" x14ac:dyDescent="0.3">
      <c r="A664" s="2"/>
      <c r="B664" s="2"/>
      <c r="C664" s="2"/>
      <c r="D664" s="2"/>
      <c r="E664" s="2"/>
      <c r="F664" s="2"/>
      <c r="G664" s="2"/>
    </row>
    <row r="665" spans="1:7" x14ac:dyDescent="0.3">
      <c r="A665" s="2"/>
      <c r="B665" s="2"/>
      <c r="C665" s="2"/>
      <c r="D665" s="2"/>
      <c r="E665" s="2"/>
      <c r="F665" s="2"/>
      <c r="G665" s="2"/>
    </row>
    <row r="666" spans="1:7" x14ac:dyDescent="0.3">
      <c r="A666" s="2"/>
      <c r="B666" s="2"/>
      <c r="C666" s="2"/>
      <c r="D666" s="2"/>
      <c r="E666" s="2"/>
      <c r="F666" s="2"/>
      <c r="G666" s="2"/>
    </row>
    <row r="667" spans="1:7" x14ac:dyDescent="0.3">
      <c r="A667" s="2"/>
      <c r="B667" s="2"/>
      <c r="C667" s="2"/>
      <c r="D667" s="2"/>
      <c r="E667" s="2"/>
      <c r="F667" s="2"/>
      <c r="G667" s="2"/>
    </row>
    <row r="668" spans="1:7" x14ac:dyDescent="0.3">
      <c r="A668" s="2"/>
      <c r="B668" s="2"/>
      <c r="C668" s="2"/>
      <c r="D668" s="2"/>
      <c r="E668" s="2"/>
      <c r="F668" s="2"/>
      <c r="G668" s="2"/>
    </row>
    <row r="669" spans="1:7" x14ac:dyDescent="0.3">
      <c r="A669" s="2"/>
      <c r="B669" s="2"/>
      <c r="C669" s="2"/>
      <c r="D669" s="2"/>
      <c r="E669" s="2"/>
      <c r="F669" s="2"/>
      <c r="G669" s="2"/>
    </row>
    <row r="670" spans="1:7" x14ac:dyDescent="0.3">
      <c r="A670" s="2"/>
      <c r="B670" s="2"/>
      <c r="C670" s="2"/>
      <c r="D670" s="2"/>
      <c r="E670" s="2"/>
      <c r="F670" s="2"/>
      <c r="G670" s="2"/>
    </row>
    <row r="671" spans="1:7" x14ac:dyDescent="0.3">
      <c r="A671" s="2"/>
      <c r="B671" s="2"/>
      <c r="C671" s="2"/>
      <c r="D671" s="2"/>
      <c r="E671" s="2"/>
      <c r="F671" s="2"/>
      <c r="G671" s="2"/>
    </row>
    <row r="672" spans="1:7" x14ac:dyDescent="0.3">
      <c r="A672" s="2"/>
      <c r="B672" s="2"/>
      <c r="C672" s="2"/>
      <c r="D672" s="2"/>
      <c r="E672" s="2"/>
      <c r="F672" s="2"/>
      <c r="G672" s="2"/>
    </row>
    <row r="673" spans="1:7" x14ac:dyDescent="0.3">
      <c r="A673" s="2"/>
      <c r="B673" s="2"/>
      <c r="C673" s="2"/>
      <c r="D673" s="2"/>
      <c r="E673" s="2"/>
      <c r="F673" s="2"/>
      <c r="G673" s="2"/>
    </row>
    <row r="674" spans="1:7" x14ac:dyDescent="0.3">
      <c r="A674" s="2"/>
      <c r="B674" s="2"/>
      <c r="C674" s="2"/>
      <c r="D674" s="2"/>
      <c r="E674" s="2"/>
      <c r="F674" s="2"/>
      <c r="G674" s="2"/>
    </row>
    <row r="675" spans="1:7" x14ac:dyDescent="0.3">
      <c r="A675" s="2"/>
      <c r="B675" s="2"/>
      <c r="C675" s="2"/>
      <c r="D675" s="2"/>
      <c r="E675" s="2"/>
      <c r="F675" s="2"/>
      <c r="G675" s="2"/>
    </row>
    <row r="676" spans="1:7" x14ac:dyDescent="0.3">
      <c r="A676" s="2"/>
      <c r="B676" s="2"/>
      <c r="C676" s="2"/>
      <c r="D676" s="2"/>
      <c r="E676" s="2"/>
      <c r="F676" s="2"/>
      <c r="G676" s="2"/>
    </row>
    <row r="677" spans="1:7" x14ac:dyDescent="0.3">
      <c r="A677" s="2"/>
      <c r="B677" s="2"/>
      <c r="C677" s="2"/>
      <c r="D677" s="2"/>
      <c r="E677" s="2"/>
      <c r="F677" s="2"/>
      <c r="G677" s="2"/>
    </row>
    <row r="678" spans="1:7" x14ac:dyDescent="0.3">
      <c r="A678" s="2"/>
      <c r="B678" s="2"/>
      <c r="C678" s="2"/>
      <c r="D678" s="2"/>
      <c r="E678" s="2"/>
      <c r="F678" s="2"/>
      <c r="G678" s="2"/>
    </row>
    <row r="679" spans="1:7" x14ac:dyDescent="0.3">
      <c r="A679" s="2"/>
      <c r="B679" s="2"/>
      <c r="C679" s="2"/>
      <c r="D679" s="2"/>
      <c r="E679" s="2"/>
      <c r="F679" s="2"/>
      <c r="G679" s="2"/>
    </row>
    <row r="680" spans="1:7" x14ac:dyDescent="0.3">
      <c r="A680" s="2"/>
      <c r="B680" s="2"/>
      <c r="C680" s="2"/>
      <c r="D680" s="2"/>
      <c r="E680" s="2"/>
      <c r="F680" s="2"/>
      <c r="G680" s="2"/>
    </row>
    <row r="681" spans="1:7" x14ac:dyDescent="0.3">
      <c r="A681" s="2"/>
      <c r="B681" s="2"/>
      <c r="C681" s="2"/>
      <c r="D681" s="2"/>
      <c r="E681" s="2"/>
      <c r="F681" s="2"/>
      <c r="G681" s="2"/>
    </row>
    <row r="682" spans="1:7" x14ac:dyDescent="0.3">
      <c r="A682" s="2"/>
      <c r="B682" s="2"/>
      <c r="C682" s="2"/>
      <c r="D682" s="2"/>
      <c r="E682" s="2"/>
      <c r="F682" s="2"/>
      <c r="G682" s="2"/>
    </row>
    <row r="683" spans="1:7" x14ac:dyDescent="0.3">
      <c r="A683" s="2"/>
      <c r="B683" s="2"/>
      <c r="C683" s="2"/>
      <c r="D683" s="2"/>
      <c r="E683" s="2"/>
      <c r="F683" s="2"/>
      <c r="G683" s="2"/>
    </row>
    <row r="684" spans="1:7" x14ac:dyDescent="0.3">
      <c r="A684" s="2"/>
      <c r="B684" s="2"/>
      <c r="C684" s="2"/>
      <c r="D684" s="2"/>
      <c r="E684" s="2"/>
      <c r="F684" s="2"/>
      <c r="G684" s="2"/>
    </row>
    <row r="685" spans="1:7" x14ac:dyDescent="0.3">
      <c r="A685" s="2"/>
      <c r="B685" s="2"/>
      <c r="C685" s="2"/>
      <c r="D685" s="2"/>
      <c r="E685" s="2"/>
      <c r="F685" s="2"/>
      <c r="G685" s="2"/>
    </row>
    <row r="686" spans="1:7" x14ac:dyDescent="0.3">
      <c r="A686" s="2"/>
      <c r="B686" s="2"/>
      <c r="C686" s="2"/>
      <c r="D686" s="2"/>
      <c r="E686" s="2"/>
      <c r="F686" s="2"/>
      <c r="G686" s="2"/>
    </row>
    <row r="687" spans="1:7" x14ac:dyDescent="0.3">
      <c r="A687" s="2"/>
      <c r="B687" s="2"/>
      <c r="C687" s="2"/>
      <c r="D687" s="2"/>
      <c r="E687" s="2"/>
      <c r="F687" s="2"/>
      <c r="G687" s="2"/>
    </row>
    <row r="688" spans="1:7" x14ac:dyDescent="0.3">
      <c r="A688" s="2"/>
      <c r="B688" s="2"/>
      <c r="C688" s="2"/>
      <c r="D688" s="2"/>
      <c r="E688" s="2"/>
      <c r="F688" s="2"/>
      <c r="G688" s="2"/>
    </row>
    <row r="689" spans="1:7" x14ac:dyDescent="0.3">
      <c r="A689" s="2"/>
      <c r="B689" s="2"/>
      <c r="C689" s="2"/>
      <c r="D689" s="2"/>
      <c r="E689" s="2"/>
      <c r="F689" s="2"/>
      <c r="G689" s="2"/>
    </row>
    <row r="690" spans="1:7" x14ac:dyDescent="0.3">
      <c r="A690" s="2"/>
      <c r="B690" s="2"/>
      <c r="C690" s="2"/>
      <c r="D690" s="2"/>
      <c r="E690" s="2"/>
      <c r="F690" s="2"/>
      <c r="G690" s="2"/>
    </row>
    <row r="691" spans="1:7" x14ac:dyDescent="0.3">
      <c r="A691" s="2"/>
      <c r="B691" s="2"/>
      <c r="C691" s="2"/>
      <c r="D691" s="2"/>
      <c r="E691" s="2"/>
      <c r="F691" s="2"/>
      <c r="G691" s="2"/>
    </row>
    <row r="692" spans="1:7" x14ac:dyDescent="0.3">
      <c r="A692" s="2"/>
      <c r="B692" s="2"/>
      <c r="C692" s="2"/>
      <c r="D692" s="2"/>
      <c r="E692" s="2"/>
      <c r="F692" s="2"/>
      <c r="G692" s="2"/>
    </row>
    <row r="693" spans="1:7" x14ac:dyDescent="0.3">
      <c r="A693" s="2"/>
      <c r="B693" s="2"/>
      <c r="C693" s="2"/>
      <c r="D693" s="2"/>
      <c r="E693" s="2"/>
      <c r="F693" s="2"/>
      <c r="G693" s="2"/>
    </row>
    <row r="694" spans="1:7" x14ac:dyDescent="0.3">
      <c r="A694" s="2"/>
      <c r="B694" s="2"/>
      <c r="C694" s="2"/>
      <c r="D694" s="2"/>
      <c r="E694" s="2"/>
      <c r="F694" s="2"/>
      <c r="G694" s="2"/>
    </row>
    <row r="695" spans="1:7" x14ac:dyDescent="0.3">
      <c r="A695" s="2"/>
      <c r="B695" s="2"/>
      <c r="C695" s="2"/>
      <c r="D695" s="2"/>
      <c r="E695" s="2"/>
      <c r="F695" s="2"/>
      <c r="G695" s="2"/>
    </row>
    <row r="696" spans="1:7" x14ac:dyDescent="0.3">
      <c r="A696" s="2"/>
      <c r="B696" s="2"/>
      <c r="C696" s="2"/>
      <c r="D696" s="2"/>
      <c r="E696" s="2"/>
      <c r="F696" s="2"/>
      <c r="G696" s="2"/>
    </row>
    <row r="697" spans="1:7" x14ac:dyDescent="0.3">
      <c r="A697" s="2"/>
      <c r="B697" s="2"/>
      <c r="C697" s="2"/>
      <c r="D697" s="2"/>
      <c r="E697" s="2"/>
      <c r="F697" s="2"/>
      <c r="G697" s="2"/>
    </row>
    <row r="698" spans="1:7" x14ac:dyDescent="0.3">
      <c r="A698" s="2"/>
      <c r="B698" s="2"/>
      <c r="C698" s="2"/>
      <c r="D698" s="2"/>
      <c r="E698" s="2"/>
      <c r="F698" s="2"/>
      <c r="G698" s="2"/>
    </row>
    <row r="699" spans="1:7" x14ac:dyDescent="0.3">
      <c r="A699" s="2"/>
      <c r="B699" s="2"/>
      <c r="C699" s="2"/>
      <c r="D699" s="2"/>
      <c r="E699" s="2"/>
      <c r="F699" s="2"/>
      <c r="G699" s="2"/>
    </row>
    <row r="700" spans="1:7" x14ac:dyDescent="0.3">
      <c r="A700" s="2"/>
      <c r="B700" s="2"/>
      <c r="C700" s="2"/>
      <c r="D700" s="2"/>
      <c r="E700" s="2"/>
      <c r="F700" s="2"/>
      <c r="G700" s="2"/>
    </row>
    <row r="701" spans="1:7" x14ac:dyDescent="0.3">
      <c r="A701" s="2"/>
      <c r="B701" s="2"/>
      <c r="C701" s="2"/>
      <c r="D701" s="2"/>
      <c r="E701" s="2"/>
      <c r="F701" s="2"/>
      <c r="G701" s="2"/>
    </row>
    <row r="702" spans="1:7" x14ac:dyDescent="0.3">
      <c r="A702" s="2"/>
      <c r="B702" s="2"/>
      <c r="C702" s="2"/>
      <c r="D702" s="2"/>
      <c r="E702" s="2"/>
      <c r="F702" s="2"/>
      <c r="G702" s="2"/>
    </row>
    <row r="703" spans="1:7" x14ac:dyDescent="0.3">
      <c r="A703" s="2"/>
      <c r="B703" s="2"/>
      <c r="C703" s="2"/>
      <c r="D703" s="2"/>
      <c r="E703" s="2"/>
      <c r="F703" s="2"/>
      <c r="G703" s="2"/>
    </row>
    <row r="704" spans="1:7" x14ac:dyDescent="0.3">
      <c r="A704" s="2"/>
      <c r="B704" s="2"/>
      <c r="C704" s="2"/>
      <c r="D704" s="2"/>
      <c r="E704" s="2"/>
      <c r="F704" s="2"/>
      <c r="G704" s="2"/>
    </row>
    <row r="705" spans="1:7" x14ac:dyDescent="0.3">
      <c r="A705" s="2"/>
      <c r="B705" s="2"/>
      <c r="C705" s="2"/>
      <c r="D705" s="2"/>
      <c r="E705" s="2"/>
      <c r="F705" s="2"/>
      <c r="G705" s="2"/>
    </row>
    <row r="706" spans="1:7" x14ac:dyDescent="0.3">
      <c r="A706" s="2"/>
      <c r="B706" s="2"/>
      <c r="C706" s="2"/>
      <c r="D706" s="2"/>
      <c r="E706" s="2"/>
      <c r="F706" s="2"/>
      <c r="G706" s="2"/>
    </row>
    <row r="707" spans="1:7" x14ac:dyDescent="0.3">
      <c r="A707" s="2"/>
      <c r="B707" s="2"/>
      <c r="C707" s="2"/>
      <c r="D707" s="2"/>
      <c r="E707" s="2"/>
      <c r="F707" s="2"/>
      <c r="G707" s="2"/>
    </row>
    <row r="708" spans="1:7" x14ac:dyDescent="0.3">
      <c r="A708" s="2"/>
      <c r="B708" s="2"/>
      <c r="C708" s="2"/>
      <c r="D708" s="2"/>
      <c r="E708" s="2"/>
      <c r="F708" s="2"/>
      <c r="G708" s="2"/>
    </row>
    <row r="709" spans="1:7" x14ac:dyDescent="0.3">
      <c r="A709" s="2"/>
      <c r="B709" s="2"/>
      <c r="C709" s="2"/>
      <c r="D709" s="2"/>
      <c r="E709" s="2"/>
      <c r="F709" s="2"/>
      <c r="G709" s="2"/>
    </row>
    <row r="710" spans="1:7" x14ac:dyDescent="0.3">
      <c r="A710" s="2"/>
      <c r="B710" s="2"/>
      <c r="C710" s="2"/>
      <c r="D710" s="2"/>
      <c r="E710" s="2"/>
      <c r="F710" s="2"/>
      <c r="G710" s="2"/>
    </row>
    <row r="711" spans="1:7" x14ac:dyDescent="0.3">
      <c r="A711" s="2"/>
      <c r="B711" s="2"/>
      <c r="C711" s="2"/>
      <c r="D711" s="2"/>
      <c r="E711" s="2"/>
      <c r="F711" s="2"/>
      <c r="G711" s="2"/>
    </row>
    <row r="712" spans="1:7" x14ac:dyDescent="0.3">
      <c r="A712" s="2"/>
      <c r="B712" s="2"/>
      <c r="C712" s="2"/>
      <c r="D712" s="2"/>
      <c r="E712" s="2"/>
      <c r="F712" s="2"/>
      <c r="G712" s="2"/>
    </row>
    <row r="713" spans="1:7" x14ac:dyDescent="0.3">
      <c r="A713" s="2"/>
      <c r="B713" s="2"/>
      <c r="C713" s="2"/>
      <c r="D713" s="2"/>
      <c r="E713" s="2"/>
      <c r="F713" s="2"/>
      <c r="G713" s="2"/>
    </row>
    <row r="714" spans="1:7" x14ac:dyDescent="0.3">
      <c r="A714" s="2"/>
      <c r="B714" s="2"/>
      <c r="C714" s="2"/>
      <c r="D714" s="2"/>
      <c r="E714" s="2"/>
      <c r="F714" s="2"/>
      <c r="G714" s="2"/>
    </row>
    <row r="715" spans="1:7" x14ac:dyDescent="0.3">
      <c r="A715" s="2"/>
      <c r="B715" s="2"/>
      <c r="C715" s="2"/>
      <c r="D715" s="2"/>
      <c r="E715" s="2"/>
      <c r="F715" s="2"/>
      <c r="G715" s="2"/>
    </row>
    <row r="716" spans="1:7" x14ac:dyDescent="0.3">
      <c r="A716" s="2"/>
      <c r="B716" s="2"/>
      <c r="C716" s="2"/>
      <c r="D716" s="2"/>
      <c r="E716" s="2"/>
      <c r="F716" s="2"/>
      <c r="G716" s="2"/>
    </row>
    <row r="717" spans="1:7" x14ac:dyDescent="0.3">
      <c r="A717" s="2"/>
      <c r="B717" s="2"/>
      <c r="C717" s="2"/>
      <c r="D717" s="2"/>
      <c r="E717" s="2"/>
      <c r="F717" s="2"/>
      <c r="G717" s="2"/>
    </row>
    <row r="718" spans="1:7" x14ac:dyDescent="0.3">
      <c r="A718" s="2"/>
      <c r="B718" s="2"/>
      <c r="C718" s="2"/>
      <c r="D718" s="2"/>
      <c r="E718" s="2"/>
      <c r="F718" s="2"/>
      <c r="G718" s="2"/>
    </row>
    <row r="719" spans="1:7" x14ac:dyDescent="0.3">
      <c r="A719" s="2"/>
      <c r="B719" s="2"/>
      <c r="C719" s="2"/>
      <c r="D719" s="2"/>
      <c r="E719" s="2"/>
      <c r="F719" s="2"/>
      <c r="G719" s="2"/>
    </row>
    <row r="720" spans="1:7" x14ac:dyDescent="0.3">
      <c r="A720" s="2"/>
      <c r="B720" s="2"/>
      <c r="C720" s="2"/>
      <c r="D720" s="2"/>
      <c r="E720" s="2"/>
      <c r="F720" s="2"/>
      <c r="G720" s="2"/>
    </row>
    <row r="721" spans="1:7" x14ac:dyDescent="0.3">
      <c r="A721" s="2"/>
      <c r="B721" s="2"/>
      <c r="C721" s="2"/>
      <c r="D721" s="2"/>
      <c r="E721" s="2"/>
      <c r="F721" s="2"/>
      <c r="G721" s="2"/>
    </row>
    <row r="722" spans="1:7" x14ac:dyDescent="0.3">
      <c r="A722" s="2"/>
      <c r="B722" s="2"/>
      <c r="C722" s="2"/>
      <c r="D722" s="2"/>
      <c r="E722" s="2"/>
      <c r="F722" s="2"/>
      <c r="G722" s="2"/>
    </row>
    <row r="723" spans="1:7" x14ac:dyDescent="0.3">
      <c r="A723" s="2"/>
      <c r="B723" s="2"/>
      <c r="C723" s="2"/>
      <c r="D723" s="2"/>
      <c r="E723" s="2"/>
      <c r="F723" s="2"/>
      <c r="G723" s="2"/>
    </row>
    <row r="724" spans="1:7" x14ac:dyDescent="0.3">
      <c r="A724" s="2"/>
      <c r="B724" s="2"/>
      <c r="C724" s="2"/>
      <c r="D724" s="2"/>
      <c r="E724" s="2"/>
      <c r="F724" s="2"/>
      <c r="G724" s="2"/>
    </row>
    <row r="725" spans="1:7" x14ac:dyDescent="0.3">
      <c r="A725" s="2"/>
      <c r="B725" s="2"/>
      <c r="C725" s="2"/>
      <c r="D725" s="2"/>
      <c r="E725" s="2"/>
      <c r="F725" s="2"/>
      <c r="G725" s="2"/>
    </row>
    <row r="726" spans="1:7" x14ac:dyDescent="0.3">
      <c r="A726" s="2"/>
      <c r="B726" s="2"/>
      <c r="C726" s="2"/>
      <c r="D726" s="2"/>
      <c r="E726" s="2"/>
      <c r="F726" s="2"/>
      <c r="G726" s="2"/>
    </row>
    <row r="727" spans="1:7" x14ac:dyDescent="0.3">
      <c r="A727" s="2"/>
      <c r="B727" s="2"/>
      <c r="C727" s="2"/>
      <c r="D727" s="2"/>
      <c r="E727" s="2"/>
      <c r="F727" s="2"/>
      <c r="G727" s="2"/>
    </row>
    <row r="728" spans="1:7" x14ac:dyDescent="0.3">
      <c r="A728" s="2"/>
      <c r="B728" s="2"/>
      <c r="C728" s="2"/>
      <c r="D728" s="2"/>
      <c r="E728" s="2"/>
      <c r="F728" s="2"/>
      <c r="G728" s="2"/>
    </row>
    <row r="729" spans="1:7" x14ac:dyDescent="0.3">
      <c r="A729" s="2"/>
      <c r="B729" s="2"/>
      <c r="C729" s="2"/>
      <c r="D729" s="2"/>
      <c r="E729" s="2"/>
      <c r="F729" s="2"/>
      <c r="G729" s="2"/>
    </row>
    <row r="730" spans="1:7" x14ac:dyDescent="0.3">
      <c r="A730" s="2"/>
      <c r="B730" s="2"/>
      <c r="C730" s="2"/>
      <c r="D730" s="2"/>
      <c r="E730" s="2"/>
      <c r="F730" s="2"/>
      <c r="G730" s="2"/>
    </row>
    <row r="731" spans="1:7" x14ac:dyDescent="0.3">
      <c r="A731" s="2"/>
      <c r="B731" s="2"/>
      <c r="C731" s="2"/>
      <c r="D731" s="2"/>
      <c r="E731" s="2"/>
      <c r="F731" s="2"/>
      <c r="G731" s="2"/>
    </row>
    <row r="732" spans="1:7" x14ac:dyDescent="0.3">
      <c r="A732" s="2"/>
      <c r="B732" s="2"/>
      <c r="C732" s="2"/>
      <c r="D732" s="2"/>
      <c r="E732" s="2"/>
      <c r="F732" s="2"/>
      <c r="G732" s="2"/>
    </row>
    <row r="733" spans="1:7" x14ac:dyDescent="0.3">
      <c r="A733" s="2"/>
      <c r="B733" s="2"/>
      <c r="C733" s="2"/>
      <c r="D733" s="2"/>
      <c r="E733" s="2"/>
      <c r="F733" s="2"/>
      <c r="G733" s="2"/>
    </row>
    <row r="734" spans="1:7" x14ac:dyDescent="0.3">
      <c r="A734" s="2"/>
      <c r="B734" s="2"/>
      <c r="C734" s="2"/>
      <c r="D734" s="2"/>
      <c r="E734" s="2"/>
      <c r="F734" s="2"/>
      <c r="G734" s="2"/>
    </row>
    <row r="735" spans="1:7" x14ac:dyDescent="0.3">
      <c r="A735" s="2"/>
      <c r="B735" s="2"/>
      <c r="C735" s="2"/>
      <c r="D735" s="2"/>
      <c r="E735" s="2"/>
      <c r="F735" s="2"/>
      <c r="G735" s="2"/>
    </row>
    <row r="736" spans="1:7" x14ac:dyDescent="0.3">
      <c r="A736" s="2"/>
      <c r="B736" s="2"/>
      <c r="C736" s="2"/>
      <c r="D736" s="2"/>
      <c r="E736" s="2"/>
      <c r="F736" s="2"/>
      <c r="G736" s="2"/>
    </row>
    <row r="737" spans="1:7" x14ac:dyDescent="0.3">
      <c r="A737" s="2"/>
      <c r="B737" s="2"/>
      <c r="C737" s="2"/>
      <c r="D737" s="2"/>
      <c r="E737" s="2"/>
      <c r="F737" s="2"/>
      <c r="G737" s="2"/>
    </row>
    <row r="738" spans="1:7" x14ac:dyDescent="0.3">
      <c r="A738" s="2"/>
      <c r="B738" s="2"/>
      <c r="C738" s="2"/>
      <c r="D738" s="2"/>
      <c r="E738" s="2"/>
      <c r="F738" s="2"/>
      <c r="G738" s="2"/>
    </row>
    <row r="739" spans="1:7" x14ac:dyDescent="0.3">
      <c r="A739" s="2"/>
      <c r="B739" s="2"/>
      <c r="C739" s="2"/>
      <c r="D739" s="2"/>
      <c r="E739" s="2"/>
      <c r="F739" s="2"/>
      <c r="G739" s="2"/>
    </row>
    <row r="740" spans="1:7" x14ac:dyDescent="0.3">
      <c r="A740" s="2"/>
      <c r="B740" s="2"/>
      <c r="C740" s="2"/>
      <c r="D740" s="2"/>
      <c r="E740" s="2"/>
      <c r="F740" s="2"/>
      <c r="G740" s="2"/>
    </row>
  </sheetData>
  <mergeCells count="10">
    <mergeCell ref="E627:F627"/>
    <mergeCell ref="D653:E653"/>
    <mergeCell ref="B572:B574"/>
    <mergeCell ref="B550:B552"/>
    <mergeCell ref="B500:C500"/>
    <mergeCell ref="C236:C237"/>
    <mergeCell ref="B256:C256"/>
    <mergeCell ref="C359:C360"/>
    <mergeCell ref="C476:E476"/>
    <mergeCell ref="C477:E47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2026-06-24T07:49:17Z</dcterms:modified>
</cp:coreProperties>
</file>