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58d4d655bee1e81/Desktop/Github/Daily_practice/Daily Excel/"/>
    </mc:Choice>
  </mc:AlternateContent>
  <xr:revisionPtr revIDLastSave="268" documentId="11_F25DC773A252ABDACC1048BD89DC52D45ADE58EF" xr6:coauthVersionLast="47" xr6:coauthVersionMax="47" xr10:uidLastSave="{FDCEA1E1-08CA-4924-AE70-36B15105FF76}"/>
  <bookViews>
    <workbookView xWindow="-108" yWindow="-108" windowWidth="23256" windowHeight="12456" xr2:uid="{00000000-000D-0000-FFFF-FFFF00000000}"/>
  </bookViews>
  <sheets>
    <sheet name="Pract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92" i="1" l="1"/>
  <c r="C693" i="1"/>
  <c r="C694" i="1"/>
  <c r="C695" i="1"/>
  <c r="C696" i="1"/>
  <c r="C697" i="1"/>
  <c r="C698" i="1"/>
  <c r="C691" i="1"/>
  <c r="C676" i="1"/>
  <c r="C677" i="1"/>
  <c r="C678" i="1"/>
  <c r="C679" i="1"/>
  <c r="C680" i="1"/>
  <c r="C681" i="1"/>
  <c r="C682" i="1"/>
  <c r="C675" i="1"/>
  <c r="D663" i="1"/>
  <c r="D664" i="1"/>
  <c r="D665" i="1"/>
  <c r="D666" i="1"/>
  <c r="D667" i="1"/>
  <c r="D662" i="1"/>
  <c r="E643" i="1"/>
  <c r="E644" i="1"/>
  <c r="E645" i="1"/>
  <c r="E646" i="1"/>
  <c r="E647" i="1"/>
  <c r="E648" i="1"/>
  <c r="E649" i="1"/>
  <c r="E650" i="1"/>
  <c r="E651" i="1"/>
  <c r="E642" i="1"/>
  <c r="F617" i="1"/>
  <c r="F618" i="1"/>
  <c r="F619" i="1"/>
  <c r="F620" i="1"/>
  <c r="F621" i="1"/>
  <c r="F622" i="1"/>
  <c r="F623" i="1"/>
  <c r="F624" i="1"/>
  <c r="F625" i="1"/>
  <c r="F616" i="1"/>
  <c r="D606" i="1"/>
  <c r="D605" i="1"/>
  <c r="D604" i="1"/>
  <c r="D603" i="1"/>
  <c r="D602" i="1"/>
  <c r="D601" i="1"/>
  <c r="C584" i="1" a="1"/>
  <c r="C584" i="1" s="1"/>
  <c r="B571" i="1" a="1"/>
  <c r="B571" i="1" s="1"/>
  <c r="B548" i="1"/>
  <c r="C531" i="1"/>
  <c r="C532" i="1"/>
  <c r="C530" i="1"/>
  <c r="B498" i="1"/>
  <c r="B497" i="1"/>
  <c r="B496" i="1"/>
  <c r="B477" i="1"/>
  <c r="B476" i="1"/>
  <c r="B462" i="1"/>
  <c r="B461" i="1"/>
  <c r="G439" i="1"/>
  <c r="G436" i="1"/>
  <c r="G434" i="1"/>
  <c r="G435" i="1"/>
  <c r="G437" i="1"/>
  <c r="G438" i="1"/>
  <c r="G433" i="1"/>
  <c r="C425" i="1"/>
  <c r="B410" i="1"/>
  <c r="D381" i="1"/>
  <c r="D380" i="1"/>
  <c r="D382" i="1"/>
  <c r="D383" i="1"/>
  <c r="D379" i="1"/>
  <c r="C358" i="1"/>
  <c r="B344" i="1"/>
  <c r="B345" i="1"/>
  <c r="B346" i="1"/>
  <c r="B343" i="1"/>
  <c r="F316" i="1" a="1"/>
  <c r="F316" i="1" s="1"/>
  <c r="F317" i="1" s="1"/>
  <c r="F315" i="1"/>
  <c r="D296" i="1"/>
  <c r="D297" i="1"/>
  <c r="D298" i="1"/>
  <c r="D295" i="1"/>
  <c r="C299" i="1"/>
  <c r="B299" i="1"/>
  <c r="D276" i="1"/>
  <c r="D277" i="1"/>
  <c r="D278" i="1"/>
  <c r="D279" i="1"/>
  <c r="D280" i="1"/>
  <c r="D281" i="1"/>
  <c r="D275" i="1"/>
  <c r="D263" i="1"/>
  <c r="D264" i="1"/>
  <c r="D265" i="1"/>
  <c r="D266" i="1"/>
  <c r="D267" i="1"/>
  <c r="D268" i="1"/>
  <c r="D262" i="1"/>
  <c r="C252" i="1"/>
  <c r="C253" i="1"/>
  <c r="C254" i="1"/>
  <c r="C251" i="1"/>
  <c r="B236" i="1"/>
  <c r="E217" i="1"/>
  <c r="E218" i="1"/>
  <c r="E219" i="1"/>
  <c r="E220" i="1"/>
  <c r="E221" i="1"/>
  <c r="E216" i="1"/>
  <c r="D217" i="1"/>
  <c r="D218" i="1"/>
  <c r="D219" i="1"/>
  <c r="D220" i="1"/>
  <c r="D221" i="1"/>
  <c r="D216" i="1"/>
  <c r="D205" i="1"/>
  <c r="D206" i="1"/>
  <c r="D207" i="1"/>
  <c r="D208" i="1"/>
  <c r="D209" i="1"/>
  <c r="D210" i="1"/>
  <c r="D204" i="1"/>
  <c r="C197" i="1"/>
  <c r="C198" i="1"/>
  <c r="C199" i="1"/>
  <c r="C200" i="1"/>
  <c r="C196" i="1"/>
  <c r="B185" i="1"/>
  <c r="B186" i="1"/>
  <c r="B187" i="1"/>
  <c r="B188" i="1"/>
  <c r="B189" i="1"/>
  <c r="B190" i="1"/>
  <c r="B184" i="1"/>
  <c r="C155" i="1"/>
  <c r="C156" i="1"/>
  <c r="C157" i="1"/>
  <c r="C158" i="1"/>
  <c r="C159" i="1"/>
  <c r="C160" i="1"/>
  <c r="C161" i="1"/>
  <c r="C154" i="1"/>
  <c r="B150" i="1"/>
  <c r="C146" i="1" s="1"/>
  <c r="C137" i="1"/>
  <c r="C136" i="1"/>
  <c r="D136" i="1"/>
  <c r="D137" i="1"/>
  <c r="D138" i="1"/>
  <c r="D139" i="1"/>
  <c r="D135" i="1"/>
  <c r="C138" i="1"/>
  <c r="C139" i="1"/>
  <c r="C135" i="1"/>
  <c r="B125" i="1"/>
  <c r="C99" i="1"/>
  <c r="D74" i="1"/>
  <c r="B74" i="1"/>
  <c r="D52" i="1"/>
  <c r="D53" i="1"/>
  <c r="D54" i="1"/>
  <c r="D55" i="1"/>
  <c r="D56" i="1"/>
  <c r="D57" i="1"/>
  <c r="D58" i="1"/>
  <c r="D59" i="1"/>
  <c r="D60" i="1"/>
  <c r="D61" i="1"/>
  <c r="D51" i="1"/>
  <c r="C52" i="1"/>
  <c r="C53" i="1"/>
  <c r="C54" i="1"/>
  <c r="C55" i="1"/>
  <c r="C56" i="1"/>
  <c r="C57" i="1"/>
  <c r="C58" i="1"/>
  <c r="C59" i="1"/>
  <c r="C60" i="1"/>
  <c r="C61" i="1"/>
  <c r="C51" i="1"/>
  <c r="C40" i="1"/>
  <c r="C41" i="1"/>
  <c r="C42" i="1"/>
  <c r="C43" i="1"/>
  <c r="C44" i="1"/>
  <c r="C39" i="1"/>
  <c r="D29" i="1"/>
  <c r="D30" i="1"/>
  <c r="D31" i="1"/>
  <c r="D32" i="1"/>
  <c r="D33" i="1"/>
  <c r="D28" i="1"/>
  <c r="A24" i="1"/>
  <c r="B14" i="1"/>
  <c r="B3" i="1"/>
  <c r="B702" i="1"/>
  <c r="B684" i="1"/>
  <c r="C669" i="1"/>
  <c r="D653" i="1"/>
  <c r="E627" i="1"/>
  <c r="C610" i="1"/>
  <c r="B464" i="1"/>
  <c r="D283" i="1"/>
  <c r="C427" i="1"/>
  <c r="C534" i="1"/>
  <c r="E204" i="1"/>
  <c r="C585" i="1"/>
  <c r="D385" i="1"/>
  <c r="B256" i="1"/>
  <c r="C343" i="1"/>
  <c r="C477" i="1"/>
  <c r="B500" i="1"/>
  <c r="G441" i="1"/>
  <c r="G315" i="1"/>
  <c r="D269" i="1"/>
  <c r="B411" i="1"/>
  <c r="C236" i="1"/>
  <c r="E295" i="1"/>
  <c r="C476" i="1"/>
  <c r="C359" i="1"/>
  <c r="B550" i="1"/>
  <c r="B572" i="1"/>
  <c r="D299" i="1" l="1"/>
  <c r="C145" i="1"/>
  <c r="C149" i="1"/>
  <c r="C148" i="1"/>
  <c r="C147" i="1"/>
  <c r="C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<sst xmlns="http://schemas.openxmlformats.org/spreadsheetml/2006/main" count="966" uniqueCount="747">
  <si>
    <t>Double-click on cell A1 in the spreadsheet editor. Replace the placeholder text with:</t>
  </si>
  <si>
    <t>Monthly financial overview</t>
  </si>
  <si>
    <t>Income</t>
  </si>
  <si>
    <t>Rent</t>
  </si>
  <si>
    <t>Groceries</t>
  </si>
  <si>
    <t>Miscellaneous</t>
  </si>
  <si>
    <t>Total after expenses</t>
  </si>
  <si>
    <t>Item</t>
  </si>
  <si>
    <t>Quantity</t>
  </si>
  <si>
    <t>Unit price ($)</t>
  </si>
  <si>
    <t>Extended cost ($)</t>
  </si>
  <si>
    <t>Notebook (A5)</t>
  </si>
  <si>
    <t>USB-C cable (2m)</t>
  </si>
  <si>
    <t>Wireless mouse</t>
  </si>
  <si>
    <t>Desk mat</t>
  </si>
  <si>
    <t>Pen set (12-pack)</t>
  </si>
  <si>
    <t>Sticky notes (6-pack)</t>
  </si>
  <si>
    <t>Record</t>
  </si>
  <si>
    <t>Imported value</t>
  </si>
  <si>
    <t>Converted number</t>
  </si>
  <si>
    <t>Invoice 1001</t>
  </si>
  <si>
    <t>Invoice 1002</t>
  </si>
  <si>
    <t>Invoice 1003</t>
  </si>
  <si>
    <t>Invoice 1004</t>
  </si>
  <si>
    <t>Invoice 1005</t>
  </si>
  <si>
    <t>Invoice 1006</t>
  </si>
  <si>
    <t>Total</t>
  </si>
  <si>
    <t>Clean imported time offsets with INT and TRUNC</t>
  </si>
  <si>
    <t>Use the AVERAGE function in cell A7 to calculate the average of the numbers in cells A1 through A5.</t>
  </si>
  <si>
    <t>Label</t>
  </si>
  <si>
    <t>Value</t>
  </si>
  <si>
    <t>INT result</t>
  </si>
  <si>
    <t>TRUNC result</t>
  </si>
  <si>
    <t>Route 18 late start</t>
  </si>
  <si>
    <t>Dock check-in delay</t>
  </si>
  <si>
    <t>Scanner sync lag</t>
  </si>
  <si>
    <t>Morning pickup offset</t>
  </si>
  <si>
    <t>Shift handoff offset</t>
  </si>
  <si>
    <t>Gate reopen offset</t>
  </si>
  <si>
    <t>Lunch break overrun</t>
  </si>
  <si>
    <t>Clock reset offset</t>
  </si>
  <si>
    <t>Trailer arrival lag</t>
  </si>
  <si>
    <t>Dispatch tablet drift</t>
  </si>
  <si>
    <t>Yard exit adjustment</t>
  </si>
  <si>
    <t>Count items in a list</t>
  </si>
  <si>
    <t>What you need to do
Click cell B10.
Use COUNTA to count how many product names are listed in cells A2:A8.
Click cell D10.
Use COUNT to count how many quantity values (numbers) are entered in cells C2:C8.
When you’re done, you should see the total number of products in B10, and the number of filled-in quantities in D10.</t>
  </si>
  <si>
    <t>Product</t>
  </si>
  <si>
    <t>Category</t>
  </si>
  <si>
    <t>Bin</t>
  </si>
  <si>
    <t>USB-C Cable</t>
  </si>
  <si>
    <t>Cables</t>
  </si>
  <si>
    <t>A1</t>
  </si>
  <si>
    <t>HDMI Adapter</t>
  </si>
  <si>
    <t>Adapters</t>
  </si>
  <si>
    <t>A3</t>
  </si>
  <si>
    <t>Wireless Mouse</t>
  </si>
  <si>
    <t>Peripherals</t>
  </si>
  <si>
    <t>B2</t>
  </si>
  <si>
    <t>Keyboard</t>
  </si>
  <si>
    <t>B3</t>
  </si>
  <si>
    <t>Laptop Stand</t>
  </si>
  <si>
    <t>Accessories</t>
  </si>
  <si>
    <t>C1</t>
  </si>
  <si>
    <t>Ethernet Switch</t>
  </si>
  <si>
    <t>Networking</t>
  </si>
  <si>
    <t>D4</t>
  </si>
  <si>
    <t>Label Printer</t>
  </si>
  <si>
    <t>Equipment</t>
  </si>
  <si>
    <t>E2</t>
  </si>
  <si>
    <t>Products listed:</t>
  </si>
  <si>
    <t>Qty entered:</t>
  </si>
  <si>
    <t>Find the maximum value</t>
  </si>
  <si>
    <t>What you need to do
Look at the monthly sales amounts in cells B2:B9.
Click cell B10 (the result cell next to “Highest monthly sales:”).
Enter a formula that returns the highest sales value from range B2:B9.
Press Enter. Cell B10 should show the largest monthly sales amount.</t>
  </si>
  <si>
    <t>Month</t>
  </si>
  <si>
    <t>Sales (USD)</t>
  </si>
  <si>
    <t>January</t>
  </si>
  <si>
    <t>February</t>
  </si>
  <si>
    <t>March</t>
  </si>
  <si>
    <t>April</t>
  </si>
  <si>
    <t>May</t>
  </si>
  <si>
    <t>June</t>
  </si>
  <si>
    <t>July</t>
  </si>
  <si>
    <t>August</t>
  </si>
  <si>
    <t>Highest monthly sales:</t>
  </si>
  <si>
    <t>Find the minimum value</t>
  </si>
  <si>
    <t>What you need to do
Click cell C9 (the cell next to "Lowest expense:").
Type a formula that returns the minimum value in the range C2:C7.
Press Enter to calculate the lowest expense amount.</t>
  </si>
  <si>
    <t>Budget line item</t>
  </si>
  <si>
    <t>Department</t>
  </si>
  <si>
    <t>Amount ($)</t>
  </si>
  <si>
    <t>Office supplies</t>
  </si>
  <si>
    <t>Operations</t>
  </si>
  <si>
    <t>Software subscriptions</t>
  </si>
  <si>
    <t>Finance</t>
  </si>
  <si>
    <t>Team lunch</t>
  </si>
  <si>
    <t>People</t>
  </si>
  <si>
    <t>Travel (local)</t>
  </si>
  <si>
    <t>Sales</t>
  </si>
  <si>
    <t>Training course</t>
  </si>
  <si>
    <t>FP&amp;A</t>
  </si>
  <si>
    <t>Printing</t>
  </si>
  <si>
    <t>Lowest expense:</t>
  </si>
  <si>
    <t>Basic COUNTIF</t>
  </si>
  <si>
    <t>COUNTIF(range, condition)</t>
  </si>
  <si>
    <t>What you need to do
In this sheet, you'll use an order dataset as the example:
Look at the order list in rows 2–8. The Category values are in column C.
Click cell D10.
Use COUNTIF to count how many of those category cells are exactly Electronics.
Press Enter.
When you’re done, cell D10 should show the number of Electronics entries.</t>
  </si>
  <si>
    <t>Order ID</t>
  </si>
  <si>
    <t>Order date</t>
  </si>
  <si>
    <t>Electronics</t>
  </si>
  <si>
    <t>Home</t>
  </si>
  <si>
    <t>Apparel</t>
  </si>
  <si>
    <t>Toys</t>
  </si>
  <si>
    <t>Electronics orders</t>
  </si>
  <si>
    <t>Find the median salary</t>
  </si>
  <si>
    <t>MEDIAN(range)
What you need to do
This sheet shows an employee compensation list in rows 2 through 9. The salary values are in column C.
Click cell B11.
Use MEDIAN to calculate the middle salary from the salary list.
Look at the prefilled average in B12 after you finish.
When you're done, compare the numbers in B11 and B12 to see how the outlier affects the average more than the median.</t>
  </si>
  <si>
    <t>Employee</t>
  </si>
  <si>
    <t>Salary</t>
  </si>
  <si>
    <t>Maya Patel</t>
  </si>
  <si>
    <t>HR</t>
  </si>
  <si>
    <t>Jordan Lee</t>
  </si>
  <si>
    <t>Sofia Gomez</t>
  </si>
  <si>
    <t>Marketing</t>
  </si>
  <si>
    <t>Ethan Brooks</t>
  </si>
  <si>
    <t>Nina Chen</t>
  </si>
  <si>
    <t>Caleb Wright</t>
  </si>
  <si>
    <t>Support</t>
  </si>
  <si>
    <t>Priya Shah</t>
  </si>
  <si>
    <t>Lucas Reed</t>
  </si>
  <si>
    <t>Executive</t>
  </si>
  <si>
    <t>Median salary</t>
  </si>
  <si>
    <t>Average salary</t>
  </si>
  <si>
    <t>$71,125</t>
  </si>
  <si>
    <t>Absolute reference practice</t>
  </si>
  <si>
    <t>What you need to do
In this sheet:
The sales tax rate is in A2
Unit prices are in B5:B9
Your goal is to calculate the after-tax price for each product in column C.
Click cell C5 (Price with tax).
Enter a formula that takes the unit price in B5 and multiplies it by (1 + tax rate).
Make the tax rate cell an absolute reference (so A2 stays fixed when you copy the formula).
Press Enter.
Copy the formula down through C9.
To copy down, select C5 and drag the small square at the bottom-right corner of the cell down to C9.</t>
  </si>
  <si>
    <t>Sales tax rate</t>
  </si>
  <si>
    <t>USB-C charging cable</t>
  </si>
  <si>
    <t>Desk chair mat</t>
  </si>
  <si>
    <t>Notebook (3-pack)</t>
  </si>
  <si>
    <t>Water bottle</t>
  </si>
  <si>
    <t>Price with tax ($) with $</t>
  </si>
  <si>
    <t>Price with tax ($) no $</t>
  </si>
  <si>
    <t>Simple percentage calculation</t>
  </si>
  <si>
    <t>What you need to do
Click cell B8.
Calculate the total budget by summing the values in B2:B6.
Click cell C2.
Calculate Marketing’s share of the total by dividing the budget in B2 by the total budget in B8.
Copy your formula down from C2 through C6 to calculate the percentage for the other departments.</t>
  </si>
  <si>
    <t>Annual budget ($)</t>
  </si>
  <si>
    <t>% of total</t>
  </si>
  <si>
    <t>R&amp;D</t>
  </si>
  <si>
    <t>Total budget</t>
  </si>
  <si>
    <t>Combine text with CONCATENATE</t>
  </si>
  <si>
    <t>CONCATENATE("text1", "text2", "text3")
This returns text1text2text3. It simply combines everything you give it, in order.
Your task
The spreadsheet has first names in cells A1:A8 and last names in cells B1:B8.
Use the CONCATENATE function in cell C1 to combine the first name in A1, a space, and the last name in B1 into a full name.
Then copy the formula down through C8 so every row has a full name.</t>
  </si>
  <si>
    <t>John</t>
  </si>
  <si>
    <t>Doe</t>
  </si>
  <si>
    <t>Nicole</t>
  </si>
  <si>
    <t>Rogers</t>
  </si>
  <si>
    <t>Liam</t>
  </si>
  <si>
    <t>Simpson</t>
  </si>
  <si>
    <t>Peter</t>
  </si>
  <si>
    <t>Stein</t>
  </si>
  <si>
    <t>Anthony</t>
  </si>
  <si>
    <t>Newton</t>
  </si>
  <si>
    <t>Lydia</t>
  </si>
  <si>
    <t>Ross</t>
  </si>
  <si>
    <t>Emmy</t>
  </si>
  <si>
    <t>Watts</t>
  </si>
  <si>
    <t>David</t>
  </si>
  <si>
    <t>Fraser</t>
  </si>
  <si>
    <t>TRIM(text)    Use TRIM to remove extra spaces from text while keeping single spaces between words.</t>
  </si>
  <si>
    <t>PROPER(text)    Use PROPER to convert text to standard title case.</t>
  </si>
  <si>
    <t>Fill cells B2:B11 and D2:D11 so the cleaned columns show properly capitalized names and notes with tidy spacing.
In cell B2, enter a PROPER formula that references the original customer name in A2.
In cell D2, enter a TRIM formula that references the imported note in C2.
Fill both formulas down through row 11 so each row completes the same cleanup workflow for the matching name and note.</t>
  </si>
  <si>
    <t>Original name</t>
  </si>
  <si>
    <t>Original note</t>
  </si>
  <si>
    <t>john SMITH</t>
  </si>
  <si>
    <t>John Smith</t>
  </si>
  <si>
    <t>Called back left voicemail</t>
  </si>
  <si>
    <t>MARIA garcia</t>
  </si>
  <si>
    <t>Maria Garcia</t>
  </si>
  <si>
    <t>Prefers email contact</t>
  </si>
  <si>
    <t>bob O'BRIEN</t>
  </si>
  <si>
    <t>Bob O'Brien</t>
  </si>
  <si>
    <t>VIP customer handle with care</t>
  </si>
  <si>
    <t>liSA chen</t>
  </si>
  <si>
    <t>Lisa Chen</t>
  </si>
  <si>
    <t>Invoice sent awaiting reply</t>
  </si>
  <si>
    <t>aNNa lopez</t>
  </si>
  <si>
    <t>Anna Lopez</t>
  </si>
  <si>
    <t>Requested quote by Friday</t>
  </si>
  <si>
    <t>michael ODOM</t>
  </si>
  <si>
    <t>Michael Odom</t>
  </si>
  <si>
    <t>New account setup complete</t>
  </si>
  <si>
    <t>sARAh patel</t>
  </si>
  <si>
    <t>Sarah Patel</t>
  </si>
  <si>
    <t>Follow up after demo</t>
  </si>
  <si>
    <t>dAVID nguyen</t>
  </si>
  <si>
    <t>David Nguyen</t>
  </si>
  <si>
    <t>Contract sent pending signature</t>
  </si>
  <si>
    <t>eMILY JOHNSON</t>
  </si>
  <si>
    <t>Emily Johnson</t>
  </si>
  <si>
    <t>Portal invite resent</t>
  </si>
  <si>
    <t>keVIN MARTIN</t>
  </si>
  <si>
    <t>Kevin Martin</t>
  </si>
  <si>
    <t>Address updated verified</t>
  </si>
  <si>
    <t>Cleaned name ( PROPER )</t>
  </si>
  <si>
    <t>Cleaned note ( TRIM )</t>
  </si>
  <si>
    <t>Extract department code with LEFT</t>
  </si>
  <si>
    <t>LEFT("ABCDE", 3) returns "ABC"
What you need to do
Click cell B2 (the first empty cell in the Department code column).
Enter a LEFT formula that extracts the department code from the SKU in A2.
Press Enter. Cell B2 should show only the department letters.
Copy your formula down through B8 to fill in all the department codes.</t>
  </si>
  <si>
    <t>SKU</t>
  </si>
  <si>
    <t>Department code</t>
  </si>
  <si>
    <t>FIN-1042</t>
  </si>
  <si>
    <t>MKT-2031</t>
  </si>
  <si>
    <t>OPS-3157</t>
  </si>
  <si>
    <t>HRD-4023</t>
  </si>
  <si>
    <t>ITS-5089</t>
  </si>
  <si>
    <t>SLS-6044</t>
  </si>
  <si>
    <t>ADM-7012</t>
  </si>
  <si>
    <t>Review the imported offset values in B2:B12.
In column C, enter a formula that uses INT on the value from the same row.
In column D, enter a formula that uses TRUNC on the value from the same row.
Fill both columns through row 12.
Compare the negative offsets to see where the two functions produce different results.
When you're done, columns C and D should show the cleaned whole-minute versions of every imported offset.</t>
  </si>
  <si>
    <t>SUM</t>
  </si>
  <si>
    <t>Use the SUM function in cell B7 to calculate the total monthly income after expenses.</t>
  </si>
  <si>
    <t>VALUE(text)
The text argument is the cell that contains the number stored as text.
What you need to do:
Review the imported values in cells B2:B7.
Notice the totals in row 9: the imported values in B9 do not total correctly yet because those values are still stored as text.
Click cell C2.
Use VALUE to convert the text in B2 into a number.
Press Enter.
Copy the formula from C2 down through C7.
When you're done, column C should contain real numbers, and the total in C9 should update correctly as you fill in the conversions.</t>
  </si>
  <si>
    <t>VALUE</t>
  </si>
  <si>
    <t>IF(logical_test, value_if_true, value_if_false)</t>
  </si>
  <si>
    <t>Pass or fail with IF</t>
  </si>
  <si>
    <t>A group of students took a test. They pass if their score is higher than 60. The scores are in cells B2 through B6.
Use the IF function in cell C2 to output "Pass" or "Fail" for the first student. Then copy your formula down to C6 so it applies to all 5 students.</t>
  </si>
  <si>
    <t>Person</t>
  </si>
  <si>
    <t>Score</t>
  </si>
  <si>
    <t>Result</t>
  </si>
  <si>
    <t>Alice</t>
  </si>
  <si>
    <t>Bob</t>
  </si>
  <si>
    <t>Charlie</t>
  </si>
  <si>
    <t>Drew</t>
  </si>
  <si>
    <t>Ernie</t>
  </si>
  <si>
    <t>Practicing and, or, and if
We want to create a formula that will return Yes when the quantity is between 16 (including 16 itself) and 29 (including 29 itself). It should also return Yes when the quantity is above 55 (excluding 55 itself). Any other value should make the formula return No.
Use the formula in cell range D2:D8.</t>
  </si>
  <si>
    <t>Expected answer</t>
  </si>
  <si>
    <t>Your answer</t>
  </si>
  <si>
    <t>No</t>
  </si>
  <si>
    <t>Yes</t>
  </si>
  <si>
    <t>DATEDIF(start_date, end_date, unit)</t>
  </si>
  <si>
    <t>Calculate age from birthdate</t>
  </si>
  <si>
    <t>What you need to do:
Click cell D2.
Write a formula using DATEDIF to calculate the employee’s age (in years) using:
the birthdate in the same row (column C)
TODAY() as the end date
Press Enter.
Fill the formula down from D2 through D7.</t>
  </si>
  <si>
    <t>Employee ID</t>
  </si>
  <si>
    <t>Employee name</t>
  </si>
  <si>
    <t>Date of birth</t>
  </si>
  <si>
    <t>Age (years)</t>
  </si>
  <si>
    <t>E-1023</t>
  </si>
  <si>
    <t>Amina Khan</t>
  </si>
  <si>
    <t>E-1041</t>
  </si>
  <si>
    <t>Diego Silva</t>
  </si>
  <si>
    <t>E-1007</t>
  </si>
  <si>
    <t>Marcus Lee</t>
  </si>
  <si>
    <t>E-0988</t>
  </si>
  <si>
    <t>Hana Novak</t>
  </si>
  <si>
    <t>E-1064</t>
  </si>
  <si>
    <t>Liu Wei</t>
  </si>
  <si>
    <t>E-1015</t>
  </si>
  <si>
    <t>Sofia Rossi</t>
  </si>
  <si>
    <t>Age(month)</t>
  </si>
  <si>
    <t>Look up a product with XLOOKUP</t>
  </si>
  <si>
    <t>XLOOKUP(lookup_value, lookup_array, return_array)
lookup_value: the value you want to find (a product code, a name, an ID, etc.)
lookup_array: the column to search in
return_array: the column to return a value from</t>
  </si>
  <si>
    <t>A product catalog is listed in rows 1–8 (product code, product name, category). Below it, cell B10 contains a product code you want to look up.
Click cell B11.
Write an XLOOKUP formula that finds the product code in B10 within the product code column (A2:A8).
Return the matching value from the category column (C2:C8).
Press Enter.
When you're done, B11 should show the category for that product code.</t>
  </si>
  <si>
    <t>Product code</t>
  </si>
  <si>
    <t>Product name</t>
  </si>
  <si>
    <t>PT-102</t>
  </si>
  <si>
    <t>Push pins</t>
  </si>
  <si>
    <t>MK-205</t>
  </si>
  <si>
    <t>Dry-erase markers</t>
  </si>
  <si>
    <t>WB-401</t>
  </si>
  <si>
    <t>Dry-erase whiteboard</t>
  </si>
  <si>
    <t>Office equipment</t>
  </si>
  <si>
    <t>SC-108</t>
  </si>
  <si>
    <t>Scissors</t>
  </si>
  <si>
    <t>FD-312</t>
  </si>
  <si>
    <t>File folders</t>
  </si>
  <si>
    <t>ST-220</t>
  </si>
  <si>
    <t>Stapler</t>
  </si>
  <si>
    <t>NB-150</t>
  </si>
  <si>
    <t>Spiral notebook</t>
  </si>
  <si>
    <t>Look up this product code</t>
  </si>
  <si>
    <t>XLOOKUP(lookup_value, lookup_array, return_array)
lookup_value: the value you want to find (a SKU, a name, an ID, etc.)
lookup_array: the column to search in
return_array: the column to return a value from</t>
  </si>
  <si>
    <t>XLOOKUP with exact match</t>
  </si>
  <si>
    <t>Item name</t>
  </si>
  <si>
    <t>Qty in stock</t>
  </si>
  <si>
    <t>SKU-1140</t>
  </si>
  <si>
    <t>Cable ties (100-pack)</t>
  </si>
  <si>
    <t>SKU-1141</t>
  </si>
  <si>
    <t>Zip-lock bags (50-pack)</t>
  </si>
  <si>
    <t>SKU-1142</t>
  </si>
  <si>
    <t>Stretch wrap roll</t>
  </si>
  <si>
    <t>SKU-1143</t>
  </si>
  <si>
    <t>Packing tape (36-pack)</t>
  </si>
  <si>
    <t>SKU-1144</t>
  </si>
  <si>
    <t>Bubble wrap (25m)</t>
  </si>
  <si>
    <t>SKU-1145</t>
  </si>
  <si>
    <t>Label printer paper (500 sheets)</t>
  </si>
  <si>
    <t>SKU-1146</t>
  </si>
  <si>
    <t>Box cutter</t>
  </si>
  <si>
    <t>Stock qty</t>
  </si>
  <si>
    <t>IF with numeric output</t>
  </si>
  <si>
    <t>You have monthly sales and targets in columns B and C. In column D, you’ll calculate the bonus:
If Sales &gt; Target, bonus = 10% of Sales i.e. add 10 of Monthaly sales to the target
Otherwise, bonus = 0</t>
  </si>
  <si>
    <t>Monthly sales ($)</t>
  </si>
  <si>
    <t>Target ($)</t>
  </si>
  <si>
    <t>Bonus ($)</t>
  </si>
  <si>
    <t>Ava</t>
  </si>
  <si>
    <t>Ben</t>
  </si>
  <si>
    <t>Cam</t>
  </si>
  <si>
    <t>Elle</t>
  </si>
  <si>
    <t>Finn</t>
  </si>
  <si>
    <t>Gia</t>
  </si>
  <si>
    <t>Simple IF statement</t>
  </si>
  <si>
    <t>Click cell D2 (the first cell under Status).
Type an IF formula that checks whether the sales value in B2 meets or exceeds the target in C2.
If the rep met the target, return On target. Otherwise, return Below target.
Press Enter.
Copy your formula down from D2 to D8 (you can drag the small square in the bottom-right corner of D2).</t>
  </si>
  <si>
    <t>Sales rep</t>
  </si>
  <si>
    <t>Sales ($)</t>
  </si>
  <si>
    <t>Status</t>
  </si>
  <si>
    <t>Calculate percentage change</t>
  </si>
  <si>
    <t>(new value - old value) / old value</t>
  </si>
  <si>
    <t>Quarter</t>
  </si>
  <si>
    <t>Last year revenue ($)</t>
  </si>
  <si>
    <t>This year revenue ($)</t>
  </si>
  <si>
    <t>% change</t>
  </si>
  <si>
    <t>Q1</t>
  </si>
  <si>
    <t>Q2</t>
  </si>
  <si>
    <t>Q3</t>
  </si>
  <si>
    <t>Q4</t>
  </si>
  <si>
    <t>1. Click cell B6 (Total last year).</t>
  </si>
  <si>
    <t>2. Calculate the total of B2:B5.</t>
  </si>
  <si>
    <t>3. Click cell C6 (Total this year).</t>
  </si>
  <si>
    <t>4. Calculate the total of C2:C5.</t>
  </si>
  <si>
    <t>5. Click cell D2 and calculate % change for Q1 using this pattern:</t>
  </si>
  <si>
    <t>6. Fill the same formula down through D5.</t>
  </si>
  <si>
    <t>7. In D6, calculate % change for the totals using C6 and B6.</t>
  </si>
  <si>
    <t>8. Press Enter.</t>
  </si>
  <si>
    <t>SUMPRODUCT for weighted average</t>
  </si>
  <si>
    <t>Fill in the summary cells on the right:</t>
  </si>
  <si>
    <t>total spend / total quantity</t>
  </si>
  <si>
    <t>PO #</t>
  </si>
  <si>
    <t>Supplier</t>
  </si>
  <si>
    <t>Summary</t>
  </si>
  <si>
    <t>PO-1041</t>
  </si>
  <si>
    <t>Nordic Metals</t>
  </si>
  <si>
    <t>Total quantity</t>
  </si>
  <si>
    <t>PO-1042</t>
  </si>
  <si>
    <t>Atlas Supply</t>
  </si>
  <si>
    <t>Total spend ($)</t>
  </si>
  <si>
    <t>PO-1043</t>
  </si>
  <si>
    <t>Coastal Steel</t>
  </si>
  <si>
    <t>Weighted avg unit price ($)</t>
  </si>
  <si>
    <t>PO-1044</t>
  </si>
  <si>
    <t>PO-1045</t>
  </si>
  <si>
    <t>PO-1046</t>
  </si>
  <si>
    <t>PO-1047</t>
  </si>
  <si>
    <t>PO-1048</t>
  </si>
  <si>
    <t>You’re reviewing purchase orders in A1:D9:</t>
  </si>
  <si>
    <t>Unit price is in C2:C9</t>
  </si>
  <si>
    <t>Quantity is in D2:D9</t>
  </si>
  <si>
    <t>1. In G2, calculate the total quantity using SUMPRODUCT.</t>
  </si>
  <si>
    <t>2. In G3, calculate the total spend (unit price × quantity) using SUMPRODUCT.</t>
  </si>
  <si>
    <t>3. In G4, calculate the weighted average unit price:</t>
  </si>
  <si>
    <t>Use VLOOKUP to find an employee’s department</t>
  </si>
  <si>
    <t>VLOOKUP(lookup_value, table_array, col_index_num, [range_lookup])</t>
  </si>
  <si>
    <t>Directory</t>
  </si>
  <si>
    <t>IT</t>
  </si>
  <si>
    <t>Payroll</t>
  </si>
  <si>
    <t>Lookup</t>
  </si>
  <si>
    <t>Department (fill this)</t>
  </si>
  <si>
    <t>HLOOKUP(lookup_value, table_array, row_index_num, [range_lookup])</t>
  </si>
  <si>
    <t>HLOOKUP for quarterly targets</t>
  </si>
  <si>
    <t>3. Return the sales target from row 2 of the table.</t>
  </si>
  <si>
    <t>Metric</t>
  </si>
  <si>
    <t>Sales target</t>
  </si>
  <si>
    <t>Target</t>
  </si>
  <si>
    <t>1. Click cell B11.</t>
  </si>
  <si>
    <t>2. Type a VLOOKUP formula that uses the employee ID in A11 and searches the directory in A3:B7.</t>
  </si>
  <si>
    <t>3. Return the Department from the directory (the second column of the directory table).</t>
  </si>
  <si>
    <t>4. Use exact match so Excel only matches the exact employee ID.</t>
  </si>
  <si>
    <t>5. Lock the directory range with $ so you can copy the formula.</t>
  </si>
  <si>
    <t>6. Copy your formula down from B11 to B14.</t>
  </si>
  <si>
    <t>1. Click cell B5.</t>
  </si>
  <si>
    <t>2. Write an HLOOKUP formula that looks up the quarter in B4 within the targets table in A1:E2.</t>
  </si>
  <si>
    <t>4. Use FALSE for an exact match.</t>
  </si>
  <si>
    <t>VLOOKUP with approximate match</t>
  </si>
  <si>
    <t>Shipping teams often price delivery in tiers (for example: 0–1 lb, 1–5 lb, 5–10 lb, and so on). In Excel, this is a classic use case for VLOOKUP with an approximate match.</t>
  </si>
  <si>
    <t>Requirements:</t>
  </si>
  <si>
    <t>2. Lock the rate table range so you can copy the formula down.</t>
  </si>
  <si>
    <t>Shipping rate lookup (approximate match)</t>
  </si>
  <si>
    <t>Calculate a per-pound shipping rate based on package weight using VLOOKUP with approximate match (TRUE).</t>
  </si>
  <si>
    <t>Orders</t>
  </si>
  <si>
    <t>Rate table</t>
  </si>
  <si>
    <t>Order #</t>
  </si>
  <si>
    <t>Zone</t>
  </si>
  <si>
    <t>Weight (lb)</t>
  </si>
  <si>
    <t>Rate ($/lb)</t>
  </si>
  <si>
    <t>Shipping cost</t>
  </si>
  <si>
    <t>Min weight (lb)</t>
  </si>
  <si>
    <t>SO-10421</t>
  </si>
  <si>
    <t>Domestic</t>
  </si>
  <si>
    <t>SO-10422</t>
  </si>
  <si>
    <t>SO-10423</t>
  </si>
  <si>
    <t>Canada</t>
  </si>
  <si>
    <t>SO-10424</t>
  </si>
  <si>
    <t>EU</t>
  </si>
  <si>
    <t>SO-10425</t>
  </si>
  <si>
    <t>A list of orders with package weights in C5:C9</t>
  </si>
  <si>
    <t>A tiered rate table in G5:H9 (minimum weight → rate per lb)</t>
  </si>
  <si>
    <t>Fill in D5:D9 with a formula that looks up the correct Rate ($/lb) based on each row’s Weight (lb).</t>
  </si>
  <si>
    <t>1. Use VLOOKUP with approximate match (TRUE) so each weight picks the highest tier that is less than or equal to the weight.</t>
  </si>
  <si>
    <t>3. Copy your formula from D5 down through D9.</t>
  </si>
  <si>
    <t>Find a customer's city with VLOOKUP</t>
  </si>
  <si>
    <t>3. Return the city for that customer.</t>
  </si>
  <si>
    <t>Customer ID</t>
  </si>
  <si>
    <t>Customer name</t>
  </si>
  <si>
    <t>City</t>
  </si>
  <si>
    <t>State</t>
  </si>
  <si>
    <t>C1001</t>
  </si>
  <si>
    <t>Riverside Bakery</t>
  </si>
  <si>
    <t>Portland</t>
  </si>
  <si>
    <t>OR</t>
  </si>
  <si>
    <t>C1002</t>
  </si>
  <si>
    <t>Summit Tech</t>
  </si>
  <si>
    <t>Seattle</t>
  </si>
  <si>
    <t>WA</t>
  </si>
  <si>
    <t>C1003</t>
  </si>
  <si>
    <t>Harbor Supplies</t>
  </si>
  <si>
    <t>Boston</t>
  </si>
  <si>
    <t>MA</t>
  </si>
  <si>
    <t>C1004</t>
  </si>
  <si>
    <t>Prairie Foods</t>
  </si>
  <si>
    <t>Denver</t>
  </si>
  <si>
    <t>CO</t>
  </si>
  <si>
    <t>C1005</t>
  </si>
  <si>
    <t>Coastal Gifts</t>
  </si>
  <si>
    <t>Miami</t>
  </si>
  <si>
    <t>FL</t>
  </si>
  <si>
    <t>C1006</t>
  </si>
  <si>
    <t>Maple Imports</t>
  </si>
  <si>
    <t>Chicago</t>
  </si>
  <si>
    <t>IL</t>
  </si>
  <si>
    <t>lookup_value: the value you want to find (the customer ID)</t>
  </si>
  <si>
    <t>table_array: the range that contains the data to search</t>
  </si>
  <si>
    <t>col_index_num: which column of the table to return (counting from the left edge of table_array)</t>
  </si>
  <si>
    <t>range_lookup: use FALSE for an exact match</t>
  </si>
  <si>
    <t>The customer directory is in cells A1:D7. Below it, cell B9 contains a customer ID, and cell B10 is where you need to enter your formula.</t>
  </si>
  <si>
    <t>1. Click cell B10.</t>
  </si>
  <si>
    <t>2. Write a VLOOKUP formula that looks up the customer ID in B9 in the directory table.</t>
  </si>
  <si>
    <t>4. Use FALSE as the last argument so Excel only matches the exact customer ID.</t>
  </si>
  <si>
    <t>XLOOKUP left lookup</t>
  </si>
  <si>
    <t>Sometimes the value you want is to the left of the value you have. VLOOKUP cannot return left, but XLOOKUP can.
XLOOKUP lets you pick the lookup column and the return column separately:
=XLOOKUP(lookup_value, lookup_array, return_array, "if_not_found")</t>
  </si>
  <si>
    <t>Price</t>
  </si>
  <si>
    <t>SK-100</t>
  </si>
  <si>
    <t>Travel Mug</t>
  </si>
  <si>
    <t>Drinkware</t>
  </si>
  <si>
    <t>SK-200</t>
  </si>
  <si>
    <t>Desk Mat</t>
  </si>
  <si>
    <t>Office</t>
  </si>
  <si>
    <t>SK-300</t>
  </si>
  <si>
    <t>USB Hub</t>
  </si>
  <si>
    <t>SK-400</t>
  </si>
  <si>
    <t>Product to find:</t>
  </si>
  <si>
    <t>SKU result:</t>
  </si>
  <si>
    <t>XLOOKUP with default</t>
  </si>
  <si>
    <t>Unit cost</t>
  </si>
  <si>
    <t>Restock SKU</t>
  </si>
  <si>
    <t>NW-1001</t>
  </si>
  <si>
    <t>Box Cutter</t>
  </si>
  <si>
    <t>Tools</t>
  </si>
  <si>
    <t>NW-1002</t>
  </si>
  <si>
    <t>Packing Tape (48mm)</t>
  </si>
  <si>
    <t>Packaging</t>
  </si>
  <si>
    <t>NW-1008</t>
  </si>
  <si>
    <t>NW-1003</t>
  </si>
  <si>
    <t>Bubble Wrap Roll</t>
  </si>
  <si>
    <t>NW-1004</t>
  </si>
  <si>
    <t>Pallet Wrap</t>
  </si>
  <si>
    <t>NW-1012</t>
  </si>
  <si>
    <t>NW-1005</t>
  </si>
  <si>
    <t>Safety Gloves (L)</t>
  </si>
  <si>
    <t>Safety</t>
  </si>
  <si>
    <t>NW-1006</t>
  </si>
  <si>
    <t>Label Printer Paper</t>
  </si>
  <si>
    <t>NW-9999</t>
  </si>
  <si>
    <t>NW-1007</t>
  </si>
  <si>
    <t>Warehouse Marking Tape</t>
  </si>
  <si>
    <t>You have an item master list in columns A:D (SKU, Product, Category, Unit cost). On the right, there’s a restock list of SKUs in F2:F8.
In cell G2, use XLOOKUP to return the Product name for the SKU in F2.
If the SKU isn’t in the item master list, return Discontinued (not an error).
Fill the formula down through G8.
Tip: Lock the lookup ranges (with $) so the formula copies down cleanly.</t>
  </si>
  <si>
    <t>In inventory datasets, you’ll often get a list of SKUs that includes old or discontinued items. Instead of returning an error, you can make your lookup return a clean default value.
XLOOKUP can return a fallback result using its optional if_not_found argument:
=XLOOKUP(lookup_value, lookup_array, return_array, "if_not_found")</t>
  </si>
  <si>
    <t>XLOOKUP with wildcard search</t>
  </si>
  <si>
    <t>In inventory work, product names are not always entered consistently. Sometimes you only know part of a product name, but you still need to find the matching item quickly.</t>
  </si>
  <si>
    <t>The full XLOOKUP syntax is:</t>
  </si>
  <si>
    <t>=XLOOKUP(lookup_value, lookup_array, return_array, [if_not_found], [match_mode])</t>
  </si>
  <si>
    <t>Unit price</t>
  </si>
  <si>
    <t>PK-101</t>
  </si>
  <si>
    <t>Pallet Wrap Film</t>
  </si>
  <si>
    <t>CL-204</t>
  </si>
  <si>
    <t>Industrial Cleaner Pro</t>
  </si>
  <si>
    <t>Cleaning supplies</t>
  </si>
  <si>
    <t>LB-220</t>
  </si>
  <si>
    <t>Storage Bin Label Set</t>
  </si>
  <si>
    <t>Storage</t>
  </si>
  <si>
    <t>CL-318</t>
  </si>
  <si>
    <t>Heavy-Duty Cleaner Spray</t>
  </si>
  <si>
    <t>SF-402</t>
  </si>
  <si>
    <t>Safety Floor Sign</t>
  </si>
  <si>
    <t>CL-509</t>
  </si>
  <si>
    <t>Citrus Surface Cleaner</t>
  </si>
  <si>
    <t>TB-615</t>
  </si>
  <si>
    <t>Tool Cart Liner</t>
  </si>
  <si>
    <t>Maintenance</t>
  </si>
  <si>
    <t>CW-730</t>
  </si>
  <si>
    <t>Cleaning Wipes Bulk Pack</t>
  </si>
  <si>
    <t>Search term</t>
  </si>
  <si>
    <t>Surface</t>
  </si>
  <si>
    <t>Matching product</t>
  </si>
  <si>
    <t>XLOOKUP can handle wildcard searches when you set the match_mode argument to 2. The asterisk (*) wildcard means "any sequence of characters", so a partial term can match a longer product name that contains that text.</t>
  </si>
  <si>
    <t>Lookup error handling</t>
  </si>
  <si>
    <t>Missing items are normal. The key is returning a clean message instead of #N/A.
You can wrap VLOOKUP with IFNA, or you can use XLOOKUP's built-in if_not_found argument</t>
  </si>
  <si>
    <t>You have a small inventory list in A2:C4 and a lookup SKU in B6.
In cell B7, write a VLOOKUP that returns the product name. Wrap it with IFNA so missing items return Not found.
In cell B8, write an XLOOKUP that returns the same result using its if_not_found argument.</t>
  </si>
  <si>
    <t>Stock</t>
  </si>
  <si>
    <t>NW-10</t>
  </si>
  <si>
    <t>Packing Tape</t>
  </si>
  <si>
    <t>NW-11</t>
  </si>
  <si>
    <t>Shipping Boxes</t>
  </si>
  <si>
    <t>NW-12</t>
  </si>
  <si>
    <t>Label Rolls</t>
  </si>
  <si>
    <t>Lookup SKU:</t>
  </si>
  <si>
    <t>NW-99</t>
  </si>
  <si>
    <t>VLOOKUP + IFNA:</t>
  </si>
  <si>
    <t>XLOOKUP not_found:</t>
  </si>
  <si>
    <t>Manager</t>
  </si>
  <si>
    <t>Team</t>
  </si>
  <si>
    <t>Pay grade</t>
  </si>
  <si>
    <t>Maria Gomez</t>
  </si>
  <si>
    <t>Ava Patel</t>
  </si>
  <si>
    <t>HR Ops</t>
  </si>
  <si>
    <t>P2</t>
  </si>
  <si>
    <t>Thomas Nguyen</t>
  </si>
  <si>
    <t>Elena Rossi</t>
  </si>
  <si>
    <t>P3</t>
  </si>
  <si>
    <t>Noah Kim</t>
  </si>
  <si>
    <t>Liam Chen</t>
  </si>
  <si>
    <t>Benefits</t>
  </si>
  <si>
    <t>Sophia Martinez</t>
  </si>
  <si>
    <t>David Brown</t>
  </si>
  <si>
    <t>Mia Johnson</t>
  </si>
  <si>
    <t>Recruiting</t>
  </si>
  <si>
    <t>P1</t>
  </si>
  <si>
    <t>Ethan Wilson</t>
  </si>
  <si>
    <t>Pay change requests</t>
  </si>
  <si>
    <t>Manager (fill)</t>
  </si>
  <si>
    <t>Reason</t>
  </si>
  <si>
    <t>Missing manager in request form</t>
  </si>
  <si>
    <t>New manager assignment needed</t>
  </si>
  <si>
    <t>Approval workflow requires manager</t>
  </si>
  <si>
    <t>Look up a manager with INDEX+MATCH</t>
  </si>
  <si>
    <t>A common lookup task is pulling the right manager name into a form or workflow step. The tricky part is that your lookup value isn’t always in the first column.
In this sheet, the roster is set up with Manager in column A and Employee in column B. That layout is common in exports, but it means a left-to-right lookup (like basic VLOOKUP) won’t fit the problem.
INDEX + MATCH solves this by:
Using MATCH to find the row where an employee name appears
Using INDEX to return the manager from the matching row</t>
  </si>
  <si>
    <t>Fill in the missing manager names for the three pay change requests:
Enter an INDEX-MATCH formula in C12 that looks up the manager for the employee in B12.
Copy the formula down through C14.</t>
  </si>
  <si>
    <t>INDEX-MATCH left lookup</t>
  </si>
  <si>
    <t>It's a common sight: exports where the columns aren’t in the order you wish they were. For example, email appears to the left of customer ID, so a basic VLOOKUP can’t return it.</t>
  </si>
  <si>
    <t>INDEX + MATCH solves this cleanly:</t>
  </si>
  <si>
    <t>Fill the missing emails for the campaign tasks:</t>
  </si>
  <si>
    <t>Use exact match in MATCH, and lock the directory ranges so your formula copies correctly.</t>
  </si>
  <si>
    <t>Email</t>
  </si>
  <si>
    <t>Segment</t>
  </si>
  <si>
    <t>alex.garcia@northwind.com</t>
  </si>
  <si>
    <t>C-1042</t>
  </si>
  <si>
    <t>Alex Garcia</t>
  </si>
  <si>
    <t>SMB</t>
  </si>
  <si>
    <t>bianca.chen@northwind.com</t>
  </si>
  <si>
    <t>C-1047</t>
  </si>
  <si>
    <t>Bianca Chen</t>
  </si>
  <si>
    <t>diego.souza@northwind.com</t>
  </si>
  <si>
    <t>C-1050</t>
  </si>
  <si>
    <t>Diego Souza</t>
  </si>
  <si>
    <t>Mid-market</t>
  </si>
  <si>
    <t>emma.johansson@northwind.com</t>
  </si>
  <si>
    <t>C-1055</t>
  </si>
  <si>
    <t>Emma Johansson</t>
  </si>
  <si>
    <t>Enterprise</t>
  </si>
  <si>
    <t>farah.khan@northwind.com</t>
  </si>
  <si>
    <t>C-1059</t>
  </si>
  <si>
    <t>Farah Khan</t>
  </si>
  <si>
    <t>henry.patel@northwind.com</t>
  </si>
  <si>
    <t>C-1061</t>
  </si>
  <si>
    <t>Henry Patel</t>
  </si>
  <si>
    <t>ingrid.larsen@northwind.com</t>
  </si>
  <si>
    <t>C-1068</t>
  </si>
  <si>
    <t>Ingrid Larsen</t>
  </si>
  <si>
    <t>jordan.reed@northwind.com</t>
  </si>
  <si>
    <t>C-1072</t>
  </si>
  <si>
    <t>Jordan Reed</t>
  </si>
  <si>
    <t>Campaign task</t>
  </si>
  <si>
    <t>Email (fill)</t>
  </si>
  <si>
    <t>Note</t>
  </si>
  <si>
    <t>Renewal reminder</t>
  </si>
  <si>
    <t>Email needed for send list</t>
  </si>
  <si>
    <t>Upsell outreach</t>
  </si>
  <si>
    <t>Confirm contact before sending</t>
  </si>
  <si>
    <t>Onboarding check-in</t>
  </si>
  <si>
    <t>Customer asked for follow-up</t>
  </si>
  <si>
    <t>MATCH finds the row number where a customer ID appears</t>
  </si>
  <si>
    <t>INDEX returns the email from that same row</t>
  </si>
  <si>
    <t>You have a customer directory in A1:D9, where Email is in column A and Customer ID is in column B.</t>
  </si>
  <si>
    <t>1. In C12, write an INDEX-MATCH formula that returns the email for the customer ID in B12.</t>
  </si>
  <si>
    <t>2. Copy the formula down through C14.</t>
  </si>
  <si>
    <t>INDEX-MATCH with MATCH in both directions</t>
  </si>
  <si>
    <t>Shipping teams often keep delivery prices in a matrix, with one category listed by row and another by column. A two-way lookup pulls the value where those two labels intersect, which makes this pattern useful for rate cards, schedules, and pricing tables.
In this exercise, you'll use INDEX with two MATCH functions to return the correct shipping rate. One MATCH should find the row for the selected zone, and the other should find the column for the selected weight bracket.
A common pattern looks like this:
=INDEX(data_range, MATCH(row_value, row_labels, 0), MATCH(column_value, column_labels, 0))</t>
  </si>
  <si>
    <t>0-5 kg</t>
  </si>
  <si>
    <t>5-10 kg</t>
  </si>
  <si>
    <t>10-20 kg</t>
  </si>
  <si>
    <t>20+ kg</t>
  </si>
  <si>
    <t>Local</t>
  </si>
  <si>
    <t>Regional</t>
  </si>
  <si>
    <t>National</t>
  </si>
  <si>
    <t>International</t>
  </si>
  <si>
    <t>Express</t>
  </si>
  <si>
    <t>Lookup zone</t>
  </si>
  <si>
    <t>Lookup weight</t>
  </si>
  <si>
    <t>Shipping rate</t>
  </si>
  <si>
    <t>XLOOKUP multiple criteria</t>
  </si>
  <si>
    <t>In real-world scenarios, you often need to look up data based on multiple criteria. While XLOOKUP is typically used for single-criterion lookups, you can nest XLOOKUP functions to handle two-dimensional lookups.
The key insight is that XLOOKUP's return_array parameter can itself be an XLOOKUP result. This creates a powerful two-way lookup:
=XLOOKUP(row_lookup, row_range, XLOOKUP(col_lookup, col_headers, data_range))
The inner XLOOKUP finds the correct column, returning an entire column of data. The outer XLOOKUP then finds the correct row within that column.</t>
  </si>
  <si>
    <t>Your task
You have a pricing table with products in column A and quarterly prices in columns B through E. The goal is to build a dynamic lookup that returns the price for any product in any quarter.
In cell H2, enter the product name "Widget D".
In cell H3, enter the quarter "Q3".
In cell H5, write a nested XLOOKUP formula that:
Uses the product in H2 to find the correct row
Uses the quarter in H3 to find the correct column
Returns the price at the intersection</t>
  </si>
  <si>
    <t>Find price for:</t>
  </si>
  <si>
    <t>Widget A</t>
  </si>
  <si>
    <t>Widget B</t>
  </si>
  <si>
    <t>Quarter:</t>
  </si>
  <si>
    <t>Widget C</t>
  </si>
  <si>
    <t>Widget D</t>
  </si>
  <si>
    <t>Price:</t>
  </si>
  <si>
    <t>Widget E</t>
  </si>
  <si>
    <t>Widget F</t>
  </si>
  <si>
    <t>Widget G</t>
  </si>
  <si>
    <t xml:space="preserve">Product: </t>
  </si>
  <si>
    <t>Return multiple columns</t>
  </si>
  <si>
    <t>In analytical datasets, you rarely look up a single field. More often you need to pull a small “record” (multiple columns) for an ID, and you want it to stay maintainable as the dataset grows.
Your sheet contains a customer table in A9:E15. The lookup key is Customer ID (column A). The fields you need to return are Name, Email, Phone (columns B–D).</t>
  </si>
  <si>
    <t>Write a single formula in C5 that:
Uses the Customer ID in B3 as the lookup value
Returns Name, Email, and Phone as a horizontal array that spills across C5:E5
Pulls the values from the customer table (do not hardcode any customer details)
Your solution should keep working if the value in B3 changes to any other valid ID in the table.</t>
  </si>
  <si>
    <t>Customer Lookup</t>
  </si>
  <si>
    <t>Look up a customer ID and return Name, Email, and Phone in one spilled row.</t>
  </si>
  <si>
    <t>Name</t>
  </si>
  <si>
    <t>Phone</t>
  </si>
  <si>
    <t>Keira Lewis</t>
  </si>
  <si>
    <t>keira.lewis@northwind.com</t>
  </si>
  <si>
    <t>(555) 010-1188</t>
  </si>
  <si>
    <t>Customer Table</t>
  </si>
  <si>
    <t>ava.patel@northwind.com</t>
  </si>
  <si>
    <t>(555) 010-0421</t>
  </si>
  <si>
    <t>Standard</t>
  </si>
  <si>
    <t>noah.kim@northwind.com</t>
  </si>
  <si>
    <t>(555) 010-0673</t>
  </si>
  <si>
    <t>Sofia Martinez</t>
  </si>
  <si>
    <t>sofia.martinez@northwind.com</t>
  </si>
  <si>
    <t>(555) 010-0905</t>
  </si>
  <si>
    <t>Premium</t>
  </si>
  <si>
    <t>liam.chen@northwind.com</t>
  </si>
  <si>
    <t>(555) 010-1430</t>
  </si>
  <si>
    <t>Maya Singh</t>
  </si>
  <si>
    <t>maya.singh@northwind.com</t>
  </si>
  <si>
    <t>(555) 010-1762</t>
  </si>
  <si>
    <t>ethan.brooks@northwind.com</t>
  </si>
  <si>
    <t>(555) 010-2014</t>
  </si>
  <si>
    <t>Basic AND function</t>
  </si>
  <si>
    <t>When a decision depends on multiple requirements, Excel can test them in one step.
The AND function returns TRUE only when every condition you give it is TRUE.
Syntax:
=AND(logical1, logical2)</t>
  </si>
  <si>
    <t>What you need to do
In this sheet, each sale has a Quantity and a Sale value ($). The minimum thresholds are listed in row 9:
Minimum quantity is in B9
Minimum sale value is in D9
Your goal is to fill the Meets both thresholds? column with TRUE or FALSE.
Click cell D2.
Start an AND formula with two logical tests:
Test 1: Is the quantity in B2 at least the minimum quantity?
Test 2: Is the sale value in C2 at least the minimum sale value?
Use absolute references for the threshold cells (so the references to row 9 do not change when you copy the formula down).
Press Enter. Cell D2 should show TRUE or FALSE.
Copy the formula down from D2 through D7.
To copy down, select D2 and drag the small square at the bottom-right corner of the cell down to D7.</t>
  </si>
  <si>
    <t>Sale ID</t>
  </si>
  <si>
    <t>Sale value ($)</t>
  </si>
  <si>
    <t>Meets both thresholds?</t>
  </si>
  <si>
    <t>S-1001</t>
  </si>
  <si>
    <t>S-1002</t>
  </si>
  <si>
    <t>S-1003</t>
  </si>
  <si>
    <t>S-1004</t>
  </si>
  <si>
    <t>S-1005</t>
  </si>
  <si>
    <t>S-1006</t>
  </si>
  <si>
    <t>Min quantity</t>
  </si>
  <si>
    <t>Min sale value ($)</t>
  </si>
  <si>
    <t>IF with OR</t>
  </si>
  <si>
    <t>Imagine you're part of a sales team that needs to quickly spot orders that should get extra attention.
A common pattern is: if any of several conditions is true, label the row as high priority. In Excel, you do that by putting an OR test inside an IF.
What you need to do:
In F2, write a formula that returns "High" when either of these is true:
The Order total ($) is greater than 10,000
The Tier is "VIP"
Otherwise, return "Standard".
Fill the formula down through F11.</t>
  </si>
  <si>
    <t>Tier</t>
  </si>
  <si>
    <t>Order total ($)</t>
  </si>
  <si>
    <t>Priority</t>
  </si>
  <si>
    <t>Maya</t>
  </si>
  <si>
    <t>VIP</t>
  </si>
  <si>
    <t>Jordan</t>
  </si>
  <si>
    <t>Aisha</t>
  </si>
  <si>
    <t>Chris</t>
  </si>
  <si>
    <t>IF with AND</t>
  </si>
  <si>
    <t>Loan decisions often depend on multiple conditions at once. In Excel, you can combine conditions with AND, then use IF to return the decision you want.</t>
  </si>
  <si>
    <t>What you need to do:</t>
  </si>
  <si>
    <r>
      <t>AND returns TRUE only when </t>
    </r>
    <r>
      <rPr>
        <i/>
        <sz val="10"/>
        <color rgb="FF000000"/>
        <rFont val="Calibri Light"/>
        <family val="2"/>
        <scheme val="major"/>
      </rPr>
      <t>all</t>
    </r>
    <r>
      <rPr>
        <sz val="10"/>
        <color rgb="FF000000"/>
        <rFont val="Calibri Light"/>
        <family val="2"/>
        <scheme val="major"/>
      </rPr>
      <t> tests are TRUE. You’ll typically use it inside IF to create a single decision rule.</t>
    </r>
  </si>
  <si>
    <r>
      <t>1. In column </t>
    </r>
    <r>
      <rPr>
        <sz val="10"/>
        <color rgb="FF000000"/>
        <rFont val="Calibri Light"/>
        <family val="2"/>
        <scheme val="major"/>
      </rPr>
      <t>E (Decision), return "Approve" only when both of these are true:</t>
    </r>
  </si>
  <si>
    <r>
      <t>Credit score is </t>
    </r>
    <r>
      <rPr>
        <sz val="10"/>
        <color rgb="FF000000"/>
        <rFont val="Calibri Light"/>
        <family val="2"/>
        <scheme val="major"/>
      </rPr>
      <t>greater than 700</t>
    </r>
  </si>
  <si>
    <r>
      <t>Annual income is </t>
    </r>
    <r>
      <rPr>
        <sz val="10"/>
        <color rgb="FF000000"/>
        <rFont val="Calibri Light"/>
        <family val="2"/>
        <scheme val="major"/>
      </rPr>
      <t>greater than 50,000</t>
    </r>
  </si>
  <si>
    <r>
      <t>2. Otherwise, return </t>
    </r>
    <r>
      <rPr>
        <sz val="10"/>
        <color rgb="FF000000"/>
        <rFont val="Calibri Light"/>
        <family val="2"/>
        <scheme val="major"/>
      </rPr>
      <t>"Decline".</t>
    </r>
  </si>
  <si>
    <r>
      <t>3. Write the formula in </t>
    </r>
    <r>
      <rPr>
        <sz val="10"/>
        <color rgb="FF000000"/>
        <rFont val="Calibri Light"/>
        <family val="2"/>
        <scheme val="major"/>
      </rPr>
      <t>E2, then fill it down through E11.</t>
    </r>
  </si>
  <si>
    <t>Applicant</t>
  </si>
  <si>
    <t>Credit score</t>
  </si>
  <si>
    <t>Annual income ($)</t>
  </si>
  <si>
    <t>Loan amount ($)</t>
  </si>
  <si>
    <t>Decision</t>
  </si>
  <si>
    <t>Noah Patel</t>
  </si>
  <si>
    <t>Ava Rodriguez</t>
  </si>
  <si>
    <t>Ethan Williams</t>
  </si>
  <si>
    <t>Sofia Garcia</t>
  </si>
  <si>
    <t>Lucas Brown</t>
  </si>
  <si>
    <t>Emma Davis</t>
  </si>
  <si>
    <t>Olivia Martin</t>
  </si>
  <si>
    <t>Jack Thompson</t>
  </si>
  <si>
    <t>Flag overdue invoices with IF and NOT</t>
  </si>
  <si>
    <t>When tracking invoices, you often need to flag those that are overdue but not yet paid. Combining IF with NOT lets you test "if something is NOT the case."
The NOT function reverses a TRUE or FALSE result:
=NOT(logical_test)
If the logical test is TRUE, NOT returns FALSE. If it is FALSE, NOT returns TRUE. This makes it useful when you want to check that a condition does not apply.</t>
  </si>
  <si>
    <t>This sheet has six invoices with due dates and payment statuses. In this exercise, every invoice shown is already past its due date, so the only thing you need to check is whether the status is not "Paid".
Some overdue invoices use different status labels, so this is a good case for checking what the status is not, rather than looking for just one unpaid label.
Your goal is to fill the Flag column (column D) with:
"Overdue" when the status is not "Paid"
"" (empty string) for any other case
Follow these steps:
Click cell D4 (the first Flag cell, for INV-1001).
Start with an IF formula: =IF(logical_test, "Overdue", "")
For the logical test, use NOT to reverse the status check. NOT(C4="Paid") returns TRUE whenever the invoice status is anything other than "Paid".
Press Enter.
Copy the formula from D4 down to D9.</t>
  </si>
  <si>
    <t>Today's date</t>
  </si>
  <si>
    <t>Invoice #</t>
  </si>
  <si>
    <t>Due date</t>
  </si>
  <si>
    <t>Flag</t>
  </si>
  <si>
    <t>INV-1001</t>
  </si>
  <si>
    <t>Unpaid</t>
  </si>
  <si>
    <t>INV-1002</t>
  </si>
  <si>
    <t>Paid</t>
  </si>
  <si>
    <t>INV-1003</t>
  </si>
  <si>
    <t>Pending</t>
  </si>
  <si>
    <t>INV-1004</t>
  </si>
  <si>
    <t>Sent</t>
  </si>
  <si>
    <t>INV-1005</t>
  </si>
  <si>
    <t>Awaiting payment</t>
  </si>
  <si>
    <t>INV-1006</t>
  </si>
  <si>
    <t>Nested IF for grading</t>
  </si>
  <si>
    <t>In reporting and analysis, you’ll often need to convert a number into a category (like turning a test score into a letter grade). A nested IF lets you test multiple thresholds in order and return a different result for each case.
In this sheet, column B contains exam scores. The grading scale is listed in columns D and E.
Your task:
In cell C2, write a nested IF that returns the correct letter grade (A–F) for the score in B2.
Use the minimum scores in E2:E6 and the corresponding letters in D2:D6.
Fill the formula down through C9 to grade every student.</t>
  </si>
  <si>
    <t>Student</t>
  </si>
  <si>
    <t>Letter grade</t>
  </si>
  <si>
    <t>Grade</t>
  </si>
  <si>
    <t>Min score</t>
  </si>
  <si>
    <t>A</t>
  </si>
  <si>
    <t>B</t>
  </si>
  <si>
    <t>C</t>
  </si>
  <si>
    <t>D</t>
  </si>
  <si>
    <t>F</t>
  </si>
  <si>
    <t>Olivia Stone</t>
  </si>
  <si>
    <t>IF(B2&gt;=$E$2,$D$2,IF(B2&gt;=$E$3,$D$3,IF(B2&gt;=$E$4,$D$4,IF(B2&gt;=$E$5,$D$5,$D$6))))</t>
  </si>
  <si>
    <t>OR REFERENCE COLUMN CAN BE USED</t>
  </si>
  <si>
    <t>Nested IF for commission tiers</t>
  </si>
  <si>
    <t>Sales commissions are often calculated using a tiered rate: higher-performing reps earn a higher commission rate. A nested IF is a practical way to apply those tier rules in a single formula.
In this sheet, monthly sales are listed in column B, and the commission tier thresholds are in columns E and F.
Your task:
In cell C2, write a nested IF that calculates the commission amount for the sales in B2.
Use the tier table (E2:F4) for the thresholds and rates, and lock those references so you can fill down.
Fill the formula down through C9.</t>
  </si>
  <si>
    <t>Monthly sales</t>
  </si>
  <si>
    <t>Commission ($)</t>
  </si>
  <si>
    <t>Min sales</t>
  </si>
  <si>
    <t>Rate</t>
  </si>
  <si>
    <t>Tier 3</t>
  </si>
  <si>
    <t>Priya Nair</t>
  </si>
  <si>
    <t>Tier 2</t>
  </si>
  <si>
    <t>Mateo Silva</t>
  </si>
  <si>
    <t>Tier 1</t>
  </si>
  <si>
    <t>Amina Hassan</t>
  </si>
  <si>
    <t>Chris Park</t>
  </si>
  <si>
    <t>Sophie Nguyen</t>
  </si>
  <si>
    <t>Daniel Brooks</t>
  </si>
  <si>
    <t>Lina Kowalski</t>
  </si>
  <si>
    <t>Commission policy:</t>
  </si>
  <si>
    <t>0–9,999 = 3% | 10,000–24,999 = 5% | 25,000+ =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</si>
</sst>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sz val="10"/>
      <color theme="1"/>
      <name val="Calibri Light"/>
      <family val="2"/>
      <scheme val="major"/>
    </font>
    <font>
      <sz val="10"/>
      <color rgb="FF1E1E1E"/>
      <name val="Calibri Light"/>
      <family val="2"/>
      <scheme val="major"/>
    </font>
    <font>
      <sz val="10"/>
      <color rgb="FF555555"/>
      <name val="Calibri Light"/>
      <family val="2"/>
      <scheme val="major"/>
    </font>
    <font>
      <i/>
      <sz val="10"/>
      <color rgb="FF000000"/>
      <name val="Calibri Light"/>
      <family val="2"/>
      <scheme val="major"/>
    </font>
    <font>
      <sz val="10"/>
      <color rgb="FF000000"/>
      <name val="Calibri Light"/>
      <family val="2"/>
      <scheme val="major"/>
    </font>
    <font>
      <i/>
      <sz val="10"/>
      <color rgb="FF444444"/>
      <name val="Calibri Light"/>
      <family val="2"/>
      <scheme val="major"/>
    </font>
  </fonts>
  <fills count="25">
    <fill>
      <patternFill patternType="none"/>
    </fill>
    <fill>
      <patternFill patternType="gray125"/>
    </fill>
    <fill>
      <patternFill patternType="solid">
        <fgColor rgb="FFC8E6C9"/>
        <bgColor indexed="64"/>
      </patternFill>
    </fill>
    <fill>
      <patternFill patternType="solid">
        <fgColor rgb="FFF0F0F0"/>
        <bgColor indexed="64"/>
      </patternFill>
    </fill>
    <fill>
      <patternFill patternType="solid">
        <fgColor rgb="FFF3F4F6"/>
        <bgColor indexed="64"/>
      </patternFill>
    </fill>
    <fill>
      <patternFill patternType="solid">
        <fgColor rgb="FFFAF5FF"/>
        <bgColor indexed="64"/>
      </patternFill>
    </fill>
    <fill>
      <patternFill patternType="solid">
        <fgColor rgb="FFFFF7E6"/>
        <bgColor indexed="64"/>
      </patternFill>
    </fill>
    <fill>
      <patternFill patternType="solid">
        <fgColor rgb="FFFAFAFA"/>
        <bgColor indexed="64"/>
      </patternFill>
    </fill>
    <fill>
      <patternFill patternType="solid">
        <fgColor rgb="FFE0F2FE"/>
        <bgColor indexed="64"/>
      </patternFill>
    </fill>
    <fill>
      <patternFill patternType="solid">
        <fgColor rgb="FFFDE68A"/>
        <bgColor indexed="64"/>
      </patternFill>
    </fill>
    <fill>
      <patternFill patternType="solid">
        <fgColor rgb="FFE3F2FD"/>
        <bgColor indexed="64"/>
      </patternFill>
    </fill>
    <fill>
      <patternFill patternType="solid">
        <fgColor rgb="FFFFFF00"/>
        <bgColor indexed="64"/>
      </patternFill>
    </fill>
    <fill>
      <patternFill patternType="solid">
        <fgColor rgb="FFF7F7F7"/>
        <bgColor indexed="64"/>
      </patternFill>
    </fill>
    <fill>
      <patternFill patternType="solid">
        <fgColor rgb="FFFFF7ED"/>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8F1FF"/>
        <bgColor indexed="64"/>
      </patternFill>
    </fill>
    <fill>
      <patternFill patternType="solid">
        <fgColor theme="9" tint="0.59999389629810485"/>
        <bgColor indexed="64"/>
      </patternFill>
    </fill>
    <fill>
      <patternFill patternType="solid">
        <fgColor rgb="FFFFF4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EF9C3"/>
        <bgColor indexed="64"/>
      </patternFill>
    </fill>
    <fill>
      <patternFill patternType="solid">
        <fgColor rgb="FFEEF6FF"/>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59">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vertical="center" wrapText="1"/>
    </xf>
    <xf numFmtId="0" fontId="1" fillId="0" borderId="0" xfId="0" applyFont="1" applyFill="1" applyAlignment="1">
      <alignment horizontal="left" vertical="top"/>
    </xf>
    <xf numFmtId="0" fontId="1" fillId="3" borderId="0" xfId="0" applyFont="1" applyFill="1" applyAlignment="1">
      <alignment vertical="center" wrapText="1"/>
    </xf>
    <xf numFmtId="2" fontId="1" fillId="0" borderId="0" xfId="0" applyNumberFormat="1" applyFont="1" applyAlignment="1">
      <alignment vertical="center" wrapText="1"/>
    </xf>
    <xf numFmtId="164" fontId="1" fillId="2" borderId="0" xfId="0" applyNumberFormat="1"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horizontal="left" vertical="center" wrapText="1"/>
    </xf>
    <xf numFmtId="4" fontId="1" fillId="2" borderId="0" xfId="0" applyNumberFormat="1" applyFont="1" applyFill="1" applyAlignment="1">
      <alignment vertical="center" wrapText="1"/>
    </xf>
    <xf numFmtId="4" fontId="1" fillId="6" borderId="0" xfId="0" applyNumberFormat="1" applyFont="1" applyFill="1" applyAlignment="1">
      <alignment vertical="center" wrapText="1"/>
    </xf>
    <xf numFmtId="0" fontId="1" fillId="7" borderId="0" xfId="0" applyFont="1" applyFill="1" applyAlignment="1">
      <alignment vertical="center" wrapText="1"/>
    </xf>
    <xf numFmtId="164" fontId="1" fillId="0" borderId="0" xfId="0" applyNumberFormat="1" applyFont="1" applyAlignment="1">
      <alignment vertical="center" wrapText="1"/>
    </xf>
    <xf numFmtId="0" fontId="1" fillId="0" borderId="0" xfId="0" applyFont="1"/>
    <xf numFmtId="14" fontId="1" fillId="0" borderId="0" xfId="0" applyNumberFormat="1" applyFont="1" applyAlignment="1">
      <alignment vertical="center" wrapText="1"/>
    </xf>
    <xf numFmtId="10" fontId="1" fillId="8" borderId="0" xfId="0" applyNumberFormat="1" applyFont="1" applyFill="1" applyAlignment="1">
      <alignment vertical="center" wrapText="1"/>
    </xf>
    <xf numFmtId="3" fontId="1" fillId="0" borderId="0" xfId="0" applyNumberFormat="1" applyFont="1" applyAlignment="1">
      <alignment vertical="center" wrapText="1"/>
    </xf>
    <xf numFmtId="10" fontId="1" fillId="2" borderId="0" xfId="0" applyNumberFormat="1" applyFont="1" applyFill="1" applyAlignment="1">
      <alignment vertical="center" wrapText="1"/>
    </xf>
    <xf numFmtId="3" fontId="1" fillId="2" borderId="0" xfId="0" applyNumberFormat="1" applyFont="1" applyFill="1" applyAlignment="1">
      <alignment vertical="center" wrapText="1"/>
    </xf>
    <xf numFmtId="0" fontId="1" fillId="10" borderId="0" xfId="0" applyFont="1" applyFill="1" applyAlignment="1">
      <alignment vertical="center" wrapText="1"/>
    </xf>
    <xf numFmtId="9" fontId="1" fillId="2" borderId="0" xfId="0" applyNumberFormat="1" applyFont="1" applyFill="1" applyAlignment="1">
      <alignment vertical="center" wrapText="1"/>
    </xf>
    <xf numFmtId="0" fontId="1" fillId="11" borderId="0" xfId="0" applyFont="1" applyFill="1" applyAlignment="1">
      <alignment vertical="top"/>
    </xf>
    <xf numFmtId="0" fontId="1" fillId="0" borderId="0" xfId="0" applyFont="1" applyAlignment="1">
      <alignment vertical="top"/>
    </xf>
    <xf numFmtId="0" fontId="1" fillId="11" borderId="0" xfId="0" applyFont="1" applyFill="1" applyAlignment="1">
      <alignment vertical="top" wrapText="1"/>
    </xf>
    <xf numFmtId="0" fontId="1" fillId="0" borderId="0" xfId="0" applyFont="1" applyFill="1" applyAlignment="1">
      <alignment vertical="top" wrapText="1"/>
    </xf>
    <xf numFmtId="0" fontId="2" fillId="11" borderId="0" xfId="0" applyFont="1" applyFill="1" applyAlignment="1">
      <alignment vertical="center" wrapText="1"/>
    </xf>
    <xf numFmtId="0" fontId="1" fillId="11" borderId="0" xfId="0" applyFont="1" applyFill="1" applyAlignment="1">
      <alignment vertical="center" wrapText="1"/>
    </xf>
    <xf numFmtId="0" fontId="1" fillId="9" borderId="0" xfId="0" applyFont="1" applyFill="1" applyAlignment="1">
      <alignment vertical="center" wrapText="1"/>
    </xf>
    <xf numFmtId="0" fontId="1" fillId="0" borderId="0" xfId="0" applyFont="1" applyAlignment="1">
      <alignment horizontal="left" vertical="center" wrapText="1" indent="1"/>
    </xf>
    <xf numFmtId="0" fontId="1" fillId="0" borderId="0" xfId="0" applyFont="1" applyAlignment="1">
      <alignment horizontal="left" vertical="center" wrapText="1" indent="2"/>
    </xf>
    <xf numFmtId="0" fontId="3" fillId="0" borderId="0" xfId="0" applyFont="1" applyAlignment="1">
      <alignment vertical="center" wrapText="1"/>
    </xf>
    <xf numFmtId="0" fontId="1" fillId="12" borderId="0" xfId="0" applyFont="1" applyFill="1" applyAlignment="1">
      <alignment vertical="center" wrapText="1"/>
    </xf>
    <xf numFmtId="0" fontId="1" fillId="6" borderId="0" xfId="0" applyFont="1" applyFill="1" applyAlignment="1">
      <alignment vertical="center" wrapText="1"/>
    </xf>
    <xf numFmtId="0" fontId="2" fillId="0" borderId="0" xfId="0" applyFont="1" applyAlignment="1">
      <alignment vertical="center" wrapText="1"/>
    </xf>
    <xf numFmtId="0" fontId="1" fillId="13" borderId="0" xfId="0" applyFont="1" applyFill="1" applyAlignment="1">
      <alignment vertical="center" wrapText="1"/>
    </xf>
    <xf numFmtId="0" fontId="1" fillId="14" borderId="0" xfId="0" applyFont="1" applyFill="1" applyAlignment="1">
      <alignment vertical="center" wrapText="1"/>
    </xf>
    <xf numFmtId="0" fontId="1" fillId="15" borderId="0" xfId="0" applyFont="1" applyFill="1" applyAlignment="1">
      <alignment vertical="center" wrapText="1"/>
    </xf>
    <xf numFmtId="0" fontId="1" fillId="16" borderId="0" xfId="0" applyFont="1" applyFill="1" applyAlignment="1">
      <alignment vertical="center" wrapText="1"/>
    </xf>
    <xf numFmtId="0" fontId="1" fillId="17" borderId="0" xfId="0" applyFont="1" applyFill="1" applyAlignment="1">
      <alignment vertical="center" wrapText="1"/>
    </xf>
    <xf numFmtId="0" fontId="1" fillId="0" borderId="0" xfId="0" applyFont="1" applyAlignment="1">
      <alignment vertical="top" wrapText="1"/>
    </xf>
    <xf numFmtId="0" fontId="1" fillId="15" borderId="0" xfId="0" applyFont="1" applyFill="1" applyAlignment="1">
      <alignment horizontal="left" vertical="top" wrapText="1"/>
    </xf>
    <xf numFmtId="0" fontId="1" fillId="18" borderId="0" xfId="0" applyFont="1" applyFill="1" applyAlignment="1">
      <alignment horizontal="left" vertical="top" wrapText="1"/>
    </xf>
    <xf numFmtId="0" fontId="1" fillId="0" borderId="0" xfId="0" applyFont="1" applyAlignment="1">
      <alignment horizontal="center" vertical="center" wrapText="1"/>
    </xf>
    <xf numFmtId="0" fontId="1" fillId="0" borderId="0" xfId="0" applyFont="1" applyAlignment="1">
      <alignment vertical="center" wrapText="1"/>
    </xf>
    <xf numFmtId="0" fontId="1" fillId="20" borderId="0" xfId="0" applyFont="1" applyFill="1" applyAlignment="1">
      <alignment horizontal="left" vertical="top" wrapText="1"/>
    </xf>
    <xf numFmtId="0" fontId="1" fillId="21" borderId="0" xfId="0" applyFont="1" applyFill="1" applyAlignment="1">
      <alignment horizontal="left" vertical="top" wrapText="1"/>
    </xf>
    <xf numFmtId="0" fontId="1" fillId="19" borderId="0" xfId="0" applyFont="1" applyFill="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vertical="center" wrapText="1"/>
    </xf>
    <xf numFmtId="0" fontId="1" fillId="0" borderId="0" xfId="0" applyFont="1" applyAlignment="1">
      <alignment horizontal="center" vertical="top"/>
    </xf>
    <xf numFmtId="14" fontId="1" fillId="8" borderId="0" xfId="0" applyNumberFormat="1" applyFont="1" applyFill="1" applyAlignment="1">
      <alignment vertical="center" wrapText="1"/>
    </xf>
    <xf numFmtId="0" fontId="1" fillId="22" borderId="0" xfId="0" applyFont="1" applyFill="1" applyAlignment="1">
      <alignment vertical="center" wrapText="1"/>
    </xf>
    <xf numFmtId="0" fontId="1" fillId="23" borderId="0" xfId="0" applyFont="1" applyFill="1" applyAlignment="1">
      <alignment vertical="center" wrapText="1"/>
    </xf>
    <xf numFmtId="0" fontId="1" fillId="24" borderId="0" xfId="0" applyFont="1" applyFill="1" applyAlignment="1">
      <alignment horizontal="left" vertical="top" wrapText="1"/>
    </xf>
    <xf numFmtId="0" fontId="6" fillId="0" borderId="0" xfId="0" applyFont="1" applyAlignment="1">
      <alignment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39"/>
  <sheetViews>
    <sheetView tabSelected="1" topLeftCell="A690" workbookViewId="0">
      <selection activeCell="A707" sqref="A707"/>
    </sheetView>
  </sheetViews>
  <sheetFormatPr defaultRowHeight="13.8" x14ac:dyDescent="0.3"/>
  <cols>
    <col min="1" max="1" width="149.88671875" style="1" bestFit="1" customWidth="1"/>
    <col min="2" max="2" width="30.109375" style="1" customWidth="1"/>
    <col min="3" max="3" width="43.33203125" style="1" customWidth="1"/>
    <col min="4" max="4" width="27.33203125" style="1" customWidth="1"/>
    <col min="5" max="5" width="26" style="1" customWidth="1"/>
    <col min="6" max="6" width="24.44140625" style="1" customWidth="1"/>
    <col min="7" max="17" width="21.88671875" style="1" customWidth="1"/>
    <col min="18" max="16384" width="8.88671875" style="1"/>
  </cols>
  <sheetData>
    <row r="1" spans="1:23" x14ac:dyDescent="0.3">
      <c r="A1" s="23" t="s">
        <v>0</v>
      </c>
      <c r="B1" s="24"/>
      <c r="C1" s="24"/>
      <c r="D1" s="24"/>
      <c r="E1" s="24"/>
      <c r="F1" s="24"/>
      <c r="G1" s="24"/>
      <c r="H1" s="24"/>
      <c r="I1" s="24"/>
      <c r="J1" s="24"/>
    </row>
    <row r="3" spans="1:23" x14ac:dyDescent="0.3">
      <c r="B3" s="1">
        <f>32+57</f>
        <v>89</v>
      </c>
    </row>
    <row r="6" spans="1:23" x14ac:dyDescent="0.3">
      <c r="A6" s="25" t="s">
        <v>213</v>
      </c>
    </row>
    <row r="8" spans="1:23" x14ac:dyDescent="0.3">
      <c r="A8" s="2" t="s">
        <v>1</v>
      </c>
      <c r="B8" s="2"/>
    </row>
    <row r="9" spans="1:23" x14ac:dyDescent="0.3">
      <c r="A9" s="2" t="s">
        <v>2</v>
      </c>
      <c r="B9" s="2">
        <v>4000</v>
      </c>
    </row>
    <row r="10" spans="1:23" x14ac:dyDescent="0.3">
      <c r="A10" s="2" t="s">
        <v>3</v>
      </c>
      <c r="B10" s="2">
        <v>-1300</v>
      </c>
    </row>
    <row r="11" spans="1:23" x14ac:dyDescent="0.3">
      <c r="A11" s="2" t="s">
        <v>4</v>
      </c>
      <c r="B11" s="2">
        <v>-400</v>
      </c>
    </row>
    <row r="12" spans="1:23" x14ac:dyDescent="0.3">
      <c r="A12" s="2" t="s">
        <v>5</v>
      </c>
      <c r="B12" s="2">
        <v>-250</v>
      </c>
    </row>
    <row r="13" spans="1:23" x14ac:dyDescent="0.3">
      <c r="A13" s="2"/>
      <c r="B13" s="2"/>
    </row>
    <row r="14" spans="1:23" x14ac:dyDescent="0.3">
      <c r="A14" s="2" t="s">
        <v>6</v>
      </c>
      <c r="B14" s="3">
        <f xml:space="preserve"> SUM(B9:B12)</f>
        <v>2050</v>
      </c>
    </row>
    <row r="16" spans="1:23" x14ac:dyDescent="0.3">
      <c r="A16" s="25" t="s">
        <v>28</v>
      </c>
      <c r="B16" s="26"/>
      <c r="C16" s="26"/>
      <c r="D16" s="26"/>
      <c r="E16" s="26"/>
      <c r="F16" s="26"/>
      <c r="G16" s="26"/>
      <c r="H16" s="26"/>
      <c r="I16" s="26"/>
      <c r="J16" s="26"/>
      <c r="K16" s="26"/>
      <c r="L16" s="26"/>
      <c r="M16" s="26"/>
      <c r="N16" s="26"/>
      <c r="O16" s="26"/>
      <c r="P16" s="26"/>
      <c r="Q16" s="26"/>
      <c r="R16" s="26"/>
      <c r="S16" s="26"/>
      <c r="T16" s="26"/>
      <c r="U16" s="26"/>
      <c r="V16" s="26"/>
      <c r="W16" s="26"/>
    </row>
    <row r="18" spans="1:23" x14ac:dyDescent="0.3">
      <c r="A18" s="45">
        <v>7</v>
      </c>
    </row>
    <row r="19" spans="1:23" x14ac:dyDescent="0.3">
      <c r="A19" s="45">
        <v>18</v>
      </c>
    </row>
    <row r="20" spans="1:23" x14ac:dyDescent="0.3">
      <c r="A20" s="45">
        <v>35</v>
      </c>
    </row>
    <row r="21" spans="1:23" x14ac:dyDescent="0.3">
      <c r="A21" s="45">
        <v>1</v>
      </c>
    </row>
    <row r="22" spans="1:23" x14ac:dyDescent="0.3">
      <c r="A22" s="45">
        <v>9</v>
      </c>
    </row>
    <row r="23" spans="1:23" x14ac:dyDescent="0.3">
      <c r="A23" s="45"/>
    </row>
    <row r="24" spans="1:23" x14ac:dyDescent="0.3">
      <c r="A24" s="4">
        <f>AVERAGE(A18:A22)</f>
        <v>14</v>
      </c>
    </row>
    <row r="26" spans="1:23" s="5" customFormat="1" x14ac:dyDescent="0.3">
      <c r="A26" s="25" t="s">
        <v>212</v>
      </c>
      <c r="B26" s="26"/>
      <c r="C26" s="26"/>
      <c r="D26" s="26"/>
      <c r="E26" s="26"/>
      <c r="F26" s="26"/>
      <c r="G26" s="26"/>
      <c r="H26" s="26"/>
      <c r="I26" s="26"/>
      <c r="J26" s="26"/>
      <c r="K26" s="26"/>
      <c r="L26" s="26"/>
      <c r="M26" s="26"/>
      <c r="N26" s="26"/>
      <c r="O26" s="26"/>
      <c r="P26" s="26"/>
      <c r="Q26" s="26"/>
      <c r="R26" s="26"/>
      <c r="S26" s="26"/>
      <c r="T26" s="26"/>
      <c r="U26" s="26"/>
      <c r="V26" s="26"/>
      <c r="W26" s="26"/>
    </row>
    <row r="27" spans="1:23" x14ac:dyDescent="0.3">
      <c r="A27" s="6" t="s">
        <v>7</v>
      </c>
      <c r="B27" s="6" t="s">
        <v>8</v>
      </c>
      <c r="C27" s="6" t="s">
        <v>9</v>
      </c>
      <c r="D27" s="6" t="s">
        <v>10</v>
      </c>
    </row>
    <row r="28" spans="1:23" x14ac:dyDescent="0.3">
      <c r="A28" s="45" t="s">
        <v>11</v>
      </c>
      <c r="B28" s="7">
        <v>3</v>
      </c>
      <c r="C28" s="7">
        <v>25</v>
      </c>
      <c r="D28" s="8">
        <f>B28*C28</f>
        <v>75</v>
      </c>
    </row>
    <row r="29" spans="1:23" x14ac:dyDescent="0.3">
      <c r="A29" s="45" t="s">
        <v>12</v>
      </c>
      <c r="B29" s="7">
        <v>5</v>
      </c>
      <c r="C29" s="7">
        <v>18</v>
      </c>
      <c r="D29" s="8">
        <f t="shared" ref="D29:D33" si="0">B29*C29</f>
        <v>90</v>
      </c>
    </row>
    <row r="30" spans="1:23" x14ac:dyDescent="0.3">
      <c r="A30" s="45" t="s">
        <v>13</v>
      </c>
      <c r="B30" s="7">
        <v>10</v>
      </c>
      <c r="C30" s="7">
        <v>9</v>
      </c>
      <c r="D30" s="8">
        <f t="shared" si="0"/>
        <v>90</v>
      </c>
    </row>
    <row r="31" spans="1:23" x14ac:dyDescent="0.3">
      <c r="A31" s="45" t="s">
        <v>14</v>
      </c>
      <c r="B31" s="7">
        <v>2</v>
      </c>
      <c r="C31" s="7">
        <v>42</v>
      </c>
      <c r="D31" s="8">
        <f t="shared" si="0"/>
        <v>84</v>
      </c>
    </row>
    <row r="32" spans="1:23" x14ac:dyDescent="0.3">
      <c r="A32" s="45" t="s">
        <v>15</v>
      </c>
      <c r="B32" s="7">
        <v>12</v>
      </c>
      <c r="C32" s="7">
        <v>6</v>
      </c>
      <c r="D32" s="8">
        <f t="shared" si="0"/>
        <v>72</v>
      </c>
    </row>
    <row r="33" spans="1:4" x14ac:dyDescent="0.3">
      <c r="A33" s="45" t="s">
        <v>16</v>
      </c>
      <c r="B33" s="7">
        <v>4</v>
      </c>
      <c r="C33" s="7">
        <v>15</v>
      </c>
      <c r="D33" s="8">
        <f t="shared" si="0"/>
        <v>60</v>
      </c>
    </row>
    <row r="34" spans="1:4" x14ac:dyDescent="0.3">
      <c r="A34" s="45"/>
      <c r="B34" s="7"/>
      <c r="C34" s="7"/>
      <c r="D34" s="8"/>
    </row>
    <row r="35" spans="1:4" x14ac:dyDescent="0.3">
      <c r="A35" s="25" t="s">
        <v>215</v>
      </c>
    </row>
    <row r="36" spans="1:4" ht="179.4" x14ac:dyDescent="0.3">
      <c r="A36" s="2" t="s">
        <v>214</v>
      </c>
    </row>
    <row r="38" spans="1:4" x14ac:dyDescent="0.3">
      <c r="A38" s="9" t="s">
        <v>17</v>
      </c>
      <c r="B38" s="9" t="s">
        <v>18</v>
      </c>
      <c r="C38" s="9" t="s">
        <v>19</v>
      </c>
    </row>
    <row r="39" spans="1:4" x14ac:dyDescent="0.3">
      <c r="A39" s="45" t="s">
        <v>20</v>
      </c>
      <c r="B39" s="10">
        <v>1250</v>
      </c>
      <c r="C39" s="11">
        <f>VALUE(B39)</f>
        <v>1250</v>
      </c>
    </row>
    <row r="40" spans="1:4" x14ac:dyDescent="0.3">
      <c r="A40" s="45" t="s">
        <v>21</v>
      </c>
      <c r="B40" s="10">
        <v>879.5</v>
      </c>
      <c r="C40" s="11">
        <f t="shared" ref="C40:C44" si="1">VALUE(B40)</f>
        <v>879.5</v>
      </c>
    </row>
    <row r="41" spans="1:4" x14ac:dyDescent="0.3">
      <c r="A41" s="45" t="s">
        <v>22</v>
      </c>
      <c r="B41" s="10">
        <v>3200</v>
      </c>
      <c r="C41" s="11">
        <f t="shared" si="1"/>
        <v>3200</v>
      </c>
    </row>
    <row r="42" spans="1:4" x14ac:dyDescent="0.3">
      <c r="A42" s="45" t="s">
        <v>23</v>
      </c>
      <c r="B42" s="10">
        <v>415.75</v>
      </c>
      <c r="C42" s="11">
        <f t="shared" si="1"/>
        <v>415.75</v>
      </c>
    </row>
    <row r="43" spans="1:4" x14ac:dyDescent="0.3">
      <c r="A43" s="45" t="s">
        <v>24</v>
      </c>
      <c r="B43" s="10">
        <v>999</v>
      </c>
      <c r="C43" s="11">
        <f t="shared" si="1"/>
        <v>999</v>
      </c>
    </row>
    <row r="44" spans="1:4" x14ac:dyDescent="0.3">
      <c r="A44" s="45" t="s">
        <v>25</v>
      </c>
      <c r="B44" s="10">
        <v>150.25</v>
      </c>
      <c r="C44" s="11">
        <f t="shared" si="1"/>
        <v>150.25</v>
      </c>
    </row>
    <row r="45" spans="1:4" x14ac:dyDescent="0.3">
      <c r="A45" s="45" t="s">
        <v>26</v>
      </c>
      <c r="B45" s="45">
        <v>0</v>
      </c>
      <c r="C45" s="12">
        <f>SUM(C39:C44)</f>
        <v>6894.5</v>
      </c>
    </row>
    <row r="47" spans="1:4" x14ac:dyDescent="0.3">
      <c r="A47" s="27" t="s">
        <v>27</v>
      </c>
    </row>
    <row r="48" spans="1:4" ht="82.8" x14ac:dyDescent="0.3">
      <c r="A48" s="2" t="s">
        <v>211</v>
      </c>
    </row>
    <row r="49" spans="1:4" x14ac:dyDescent="0.3">
      <c r="A49" s="2"/>
    </row>
    <row r="50" spans="1:4" x14ac:dyDescent="0.3">
      <c r="A50" s="9" t="s">
        <v>29</v>
      </c>
      <c r="B50" s="9" t="s">
        <v>30</v>
      </c>
      <c r="C50" s="9" t="s">
        <v>31</v>
      </c>
      <c r="D50" s="9" t="s">
        <v>32</v>
      </c>
    </row>
    <row r="51" spans="1:4" x14ac:dyDescent="0.3">
      <c r="A51" s="45" t="s">
        <v>33</v>
      </c>
      <c r="B51" s="13">
        <v>7.8</v>
      </c>
      <c r="C51" s="4">
        <f>INT(B51)</f>
        <v>7</v>
      </c>
      <c r="D51" s="4">
        <f>TRUNC(B51)</f>
        <v>7</v>
      </c>
    </row>
    <row r="52" spans="1:4" x14ac:dyDescent="0.3">
      <c r="A52" s="45" t="s">
        <v>34</v>
      </c>
      <c r="B52" s="13">
        <v>15.23</v>
      </c>
      <c r="C52" s="4">
        <f t="shared" ref="C52:C61" si="2">INT(B52)</f>
        <v>15</v>
      </c>
      <c r="D52" s="4">
        <f t="shared" ref="D52:D61" si="3">TRUNC(B52)</f>
        <v>15</v>
      </c>
    </row>
    <row r="53" spans="1:4" x14ac:dyDescent="0.3">
      <c r="A53" s="45" t="s">
        <v>35</v>
      </c>
      <c r="B53" s="13">
        <v>99.9</v>
      </c>
      <c r="C53" s="4">
        <f t="shared" si="2"/>
        <v>99</v>
      </c>
      <c r="D53" s="4">
        <f t="shared" si="3"/>
        <v>99</v>
      </c>
    </row>
    <row r="54" spans="1:4" x14ac:dyDescent="0.3">
      <c r="A54" s="45" t="s">
        <v>36</v>
      </c>
      <c r="B54" s="13">
        <v>-3.4</v>
      </c>
      <c r="C54" s="4">
        <f t="shared" si="2"/>
        <v>-4</v>
      </c>
      <c r="D54" s="4">
        <f t="shared" si="3"/>
        <v>-3</v>
      </c>
    </row>
    <row r="55" spans="1:4" x14ac:dyDescent="0.3">
      <c r="A55" s="45" t="s">
        <v>37</v>
      </c>
      <c r="B55" s="13">
        <v>-12.75</v>
      </c>
      <c r="C55" s="4">
        <f t="shared" si="2"/>
        <v>-13</v>
      </c>
      <c r="D55" s="4">
        <f t="shared" si="3"/>
        <v>-12</v>
      </c>
    </row>
    <row r="56" spans="1:4" x14ac:dyDescent="0.3">
      <c r="A56" s="45" t="s">
        <v>38</v>
      </c>
      <c r="B56" s="13">
        <v>-0.62</v>
      </c>
      <c r="C56" s="4">
        <f t="shared" si="2"/>
        <v>-1</v>
      </c>
      <c r="D56" s="4">
        <f t="shared" si="3"/>
        <v>0</v>
      </c>
    </row>
    <row r="57" spans="1:4" x14ac:dyDescent="0.3">
      <c r="A57" s="45" t="s">
        <v>39</v>
      </c>
      <c r="B57" s="13">
        <v>22.49</v>
      </c>
      <c r="C57" s="4">
        <f t="shared" si="2"/>
        <v>22</v>
      </c>
      <c r="D57" s="4">
        <f t="shared" si="3"/>
        <v>22</v>
      </c>
    </row>
    <row r="58" spans="1:4" x14ac:dyDescent="0.3">
      <c r="A58" s="45" t="s">
        <v>40</v>
      </c>
      <c r="B58" s="13">
        <v>-8.01</v>
      </c>
      <c r="C58" s="4">
        <f t="shared" si="2"/>
        <v>-9</v>
      </c>
      <c r="D58" s="4">
        <f t="shared" si="3"/>
        <v>-8</v>
      </c>
    </row>
    <row r="59" spans="1:4" x14ac:dyDescent="0.3">
      <c r="A59" s="45" t="s">
        <v>41</v>
      </c>
      <c r="B59" s="13">
        <v>4.99</v>
      </c>
      <c r="C59" s="4">
        <f t="shared" si="2"/>
        <v>4</v>
      </c>
      <c r="D59" s="4">
        <f t="shared" si="3"/>
        <v>4</v>
      </c>
    </row>
    <row r="60" spans="1:4" x14ac:dyDescent="0.3">
      <c r="A60" s="45" t="s">
        <v>42</v>
      </c>
      <c r="B60" s="13">
        <v>11.58</v>
      </c>
      <c r="C60" s="4">
        <f t="shared" si="2"/>
        <v>11</v>
      </c>
      <c r="D60" s="4">
        <f t="shared" si="3"/>
        <v>11</v>
      </c>
    </row>
    <row r="61" spans="1:4" x14ac:dyDescent="0.3">
      <c r="A61" s="45" t="s">
        <v>43</v>
      </c>
      <c r="B61" s="13">
        <v>-5.2</v>
      </c>
      <c r="C61" s="4">
        <f t="shared" si="2"/>
        <v>-6</v>
      </c>
      <c r="D61" s="4">
        <f t="shared" si="3"/>
        <v>-5</v>
      </c>
    </row>
    <row r="63" spans="1:4" x14ac:dyDescent="0.3">
      <c r="A63" s="27" t="s">
        <v>44</v>
      </c>
    </row>
    <row r="64" spans="1:4" ht="82.8" x14ac:dyDescent="0.3">
      <c r="A64" s="2" t="s">
        <v>45</v>
      </c>
    </row>
    <row r="65" spans="1:4" x14ac:dyDescent="0.3">
      <c r="A65" s="2"/>
    </row>
    <row r="66" spans="1:4" x14ac:dyDescent="0.3">
      <c r="A66" s="6" t="s">
        <v>46</v>
      </c>
      <c r="B66" s="6" t="s">
        <v>47</v>
      </c>
      <c r="C66" s="6" t="s">
        <v>8</v>
      </c>
      <c r="D66" s="6" t="s">
        <v>48</v>
      </c>
    </row>
    <row r="67" spans="1:4" x14ac:dyDescent="0.3">
      <c r="A67" s="45" t="s">
        <v>49</v>
      </c>
      <c r="B67" s="45" t="s">
        <v>50</v>
      </c>
      <c r="C67" s="45">
        <v>48</v>
      </c>
      <c r="D67" s="45" t="s">
        <v>51</v>
      </c>
    </row>
    <row r="68" spans="1:4" x14ac:dyDescent="0.3">
      <c r="A68" s="45" t="s">
        <v>52</v>
      </c>
      <c r="B68" s="45" t="s">
        <v>53</v>
      </c>
      <c r="C68" s="45">
        <v>15</v>
      </c>
      <c r="D68" s="45" t="s">
        <v>54</v>
      </c>
    </row>
    <row r="69" spans="1:4" x14ac:dyDescent="0.3">
      <c r="A69" s="45" t="s">
        <v>55</v>
      </c>
      <c r="B69" s="45" t="s">
        <v>56</v>
      </c>
      <c r="C69" s="45">
        <v>22</v>
      </c>
      <c r="D69" s="45" t="s">
        <v>57</v>
      </c>
    </row>
    <row r="70" spans="1:4" x14ac:dyDescent="0.3">
      <c r="A70" s="45" t="s">
        <v>58</v>
      </c>
      <c r="B70" s="45" t="s">
        <v>56</v>
      </c>
      <c r="C70" s="45">
        <v>10</v>
      </c>
      <c r="D70" s="45" t="s">
        <v>59</v>
      </c>
    </row>
    <row r="71" spans="1:4" x14ac:dyDescent="0.3">
      <c r="A71" s="45" t="s">
        <v>60</v>
      </c>
      <c r="B71" s="45" t="s">
        <v>61</v>
      </c>
      <c r="C71" s="45"/>
      <c r="D71" s="45" t="s">
        <v>62</v>
      </c>
    </row>
    <row r="72" spans="1:4" x14ac:dyDescent="0.3">
      <c r="A72" s="45" t="s">
        <v>63</v>
      </c>
      <c r="B72" s="45" t="s">
        <v>64</v>
      </c>
      <c r="C72" s="45">
        <v>5</v>
      </c>
      <c r="D72" s="45" t="s">
        <v>65</v>
      </c>
    </row>
    <row r="73" spans="1:4" x14ac:dyDescent="0.3">
      <c r="A73" s="45" t="s">
        <v>66</v>
      </c>
      <c r="B73" s="45" t="s">
        <v>67</v>
      </c>
      <c r="C73" s="45">
        <v>2</v>
      </c>
      <c r="D73" s="45" t="s">
        <v>68</v>
      </c>
    </row>
    <row r="74" spans="1:4" x14ac:dyDescent="0.3">
      <c r="A74" s="13" t="s">
        <v>69</v>
      </c>
      <c r="B74" s="4">
        <f>COUNTA(B67:B73)</f>
        <v>7</v>
      </c>
      <c r="C74" s="13" t="s">
        <v>70</v>
      </c>
      <c r="D74" s="4">
        <f>COUNT(C67:C73)</f>
        <v>6</v>
      </c>
    </row>
    <row r="76" spans="1:4" x14ac:dyDescent="0.3">
      <c r="A76" s="27" t="s">
        <v>71</v>
      </c>
    </row>
    <row r="77" spans="1:4" ht="69" x14ac:dyDescent="0.3">
      <c r="A77" s="2" t="s">
        <v>72</v>
      </c>
    </row>
    <row r="78" spans="1:4" x14ac:dyDescent="0.3">
      <c r="A78" s="6" t="s">
        <v>73</v>
      </c>
      <c r="B78" s="6" t="s">
        <v>74</v>
      </c>
    </row>
    <row r="79" spans="1:4" x14ac:dyDescent="0.3">
      <c r="A79" s="45" t="s">
        <v>75</v>
      </c>
      <c r="B79" s="45">
        <v>18500</v>
      </c>
    </row>
    <row r="80" spans="1:4" x14ac:dyDescent="0.3">
      <c r="A80" s="45" t="s">
        <v>76</v>
      </c>
      <c r="B80" s="45">
        <v>21250</v>
      </c>
    </row>
    <row r="81" spans="1:3" x14ac:dyDescent="0.3">
      <c r="A81" s="45" t="s">
        <v>77</v>
      </c>
      <c r="B81" s="45">
        <v>19800</v>
      </c>
    </row>
    <row r="82" spans="1:3" x14ac:dyDescent="0.3">
      <c r="A82" s="45" t="s">
        <v>78</v>
      </c>
      <c r="B82" s="45">
        <v>25000</v>
      </c>
    </row>
    <row r="83" spans="1:3" x14ac:dyDescent="0.3">
      <c r="A83" s="45" t="s">
        <v>79</v>
      </c>
      <c r="B83" s="45">
        <v>23750</v>
      </c>
    </row>
    <row r="84" spans="1:3" x14ac:dyDescent="0.3">
      <c r="A84" s="45" t="s">
        <v>80</v>
      </c>
      <c r="B84" s="45">
        <v>22100</v>
      </c>
    </row>
    <row r="85" spans="1:3" x14ac:dyDescent="0.3">
      <c r="A85" s="45" t="s">
        <v>81</v>
      </c>
      <c r="B85" s="45">
        <v>26400</v>
      </c>
    </row>
    <row r="86" spans="1:3" x14ac:dyDescent="0.3">
      <c r="A86" s="45" t="s">
        <v>82</v>
      </c>
      <c r="B86" s="45">
        <v>24300</v>
      </c>
    </row>
    <row r="87" spans="1:3" x14ac:dyDescent="0.3">
      <c r="A87" s="45" t="s">
        <v>83</v>
      </c>
      <c r="B87" s="4">
        <v>26400</v>
      </c>
    </row>
    <row r="89" spans="1:3" x14ac:dyDescent="0.3">
      <c r="A89" s="27" t="s">
        <v>84</v>
      </c>
    </row>
    <row r="90" spans="1:3" ht="55.2" x14ac:dyDescent="0.3">
      <c r="A90" s="2" t="s">
        <v>85</v>
      </c>
    </row>
    <row r="91" spans="1:3" x14ac:dyDescent="0.3">
      <c r="A91" s="2"/>
    </row>
    <row r="92" spans="1:3" x14ac:dyDescent="0.3">
      <c r="A92" s="6" t="s">
        <v>86</v>
      </c>
      <c r="B92" s="6" t="s">
        <v>87</v>
      </c>
      <c r="C92" s="6" t="s">
        <v>88</v>
      </c>
    </row>
    <row r="93" spans="1:3" x14ac:dyDescent="0.3">
      <c r="A93" s="45" t="s">
        <v>89</v>
      </c>
      <c r="B93" s="45" t="s">
        <v>90</v>
      </c>
      <c r="C93" s="14">
        <v>425</v>
      </c>
    </row>
    <row r="94" spans="1:3" x14ac:dyDescent="0.3">
      <c r="A94" s="45" t="s">
        <v>91</v>
      </c>
      <c r="B94" s="45" t="s">
        <v>92</v>
      </c>
      <c r="C94" s="14">
        <v>980</v>
      </c>
    </row>
    <row r="95" spans="1:3" x14ac:dyDescent="0.3">
      <c r="A95" s="45" t="s">
        <v>93</v>
      </c>
      <c r="B95" s="45" t="s">
        <v>94</v>
      </c>
      <c r="C95" s="14">
        <v>160</v>
      </c>
    </row>
    <row r="96" spans="1:3" x14ac:dyDescent="0.3">
      <c r="A96" s="45" t="s">
        <v>95</v>
      </c>
      <c r="B96" s="45" t="s">
        <v>96</v>
      </c>
      <c r="C96" s="14">
        <v>350</v>
      </c>
    </row>
    <row r="97" spans="1:4" x14ac:dyDescent="0.3">
      <c r="A97" s="45" t="s">
        <v>97</v>
      </c>
      <c r="B97" s="45" t="s">
        <v>98</v>
      </c>
      <c r="C97" s="14">
        <v>1200</v>
      </c>
    </row>
    <row r="98" spans="1:4" x14ac:dyDescent="0.3">
      <c r="A98" s="45" t="s">
        <v>99</v>
      </c>
      <c r="B98" s="45" t="s">
        <v>90</v>
      </c>
      <c r="C98" s="14">
        <v>95</v>
      </c>
    </row>
    <row r="99" spans="1:4" x14ac:dyDescent="0.3">
      <c r="A99" s="45" t="s">
        <v>100</v>
      </c>
      <c r="B99" s="45"/>
      <c r="C99" s="8">
        <f>MIN(C93:C98)</f>
        <v>95</v>
      </c>
    </row>
    <row r="101" spans="1:4" x14ac:dyDescent="0.3">
      <c r="A101" s="27" t="s">
        <v>101</v>
      </c>
    </row>
    <row r="102" spans="1:4" x14ac:dyDescent="0.3">
      <c r="A102" s="15" t="s">
        <v>102</v>
      </c>
    </row>
    <row r="103" spans="1:4" ht="110.4" x14ac:dyDescent="0.3">
      <c r="A103" s="2" t="s">
        <v>103</v>
      </c>
    </row>
    <row r="104" spans="1:4" x14ac:dyDescent="0.3">
      <c r="A104" s="9" t="s">
        <v>104</v>
      </c>
      <c r="B104" s="9" t="s">
        <v>105</v>
      </c>
      <c r="C104" s="9" t="s">
        <v>47</v>
      </c>
      <c r="D104" s="9" t="s">
        <v>88</v>
      </c>
    </row>
    <row r="105" spans="1:4" x14ac:dyDescent="0.3">
      <c r="A105" s="45">
        <v>1001</v>
      </c>
      <c r="B105" s="16">
        <v>46025</v>
      </c>
      <c r="C105" s="45" t="s">
        <v>106</v>
      </c>
      <c r="D105" s="45">
        <v>249.99</v>
      </c>
    </row>
    <row r="106" spans="1:4" x14ac:dyDescent="0.3">
      <c r="A106" s="45">
        <v>1002</v>
      </c>
      <c r="B106" s="16">
        <v>46026</v>
      </c>
      <c r="C106" s="45" t="s">
        <v>107</v>
      </c>
      <c r="D106" s="45">
        <v>39.5</v>
      </c>
    </row>
    <row r="107" spans="1:4" x14ac:dyDescent="0.3">
      <c r="A107" s="45">
        <v>1003</v>
      </c>
      <c r="B107" s="16">
        <v>46027</v>
      </c>
      <c r="C107" s="45" t="s">
        <v>106</v>
      </c>
      <c r="D107" s="45">
        <v>89</v>
      </c>
    </row>
    <row r="108" spans="1:4" x14ac:dyDescent="0.3">
      <c r="A108" s="45">
        <v>1004</v>
      </c>
      <c r="B108" s="16">
        <v>46027</v>
      </c>
      <c r="C108" s="45" t="s">
        <v>108</v>
      </c>
      <c r="D108" s="45">
        <v>59.99</v>
      </c>
    </row>
    <row r="109" spans="1:4" x14ac:dyDescent="0.3">
      <c r="A109" s="45">
        <v>1005</v>
      </c>
      <c r="B109" s="16">
        <v>46028</v>
      </c>
      <c r="C109" s="45" t="s">
        <v>106</v>
      </c>
      <c r="D109" s="45">
        <v>129</v>
      </c>
    </row>
    <row r="110" spans="1:4" x14ac:dyDescent="0.3">
      <c r="A110" s="45">
        <v>1006</v>
      </c>
      <c r="B110" s="16">
        <v>46028</v>
      </c>
      <c r="C110" s="45" t="s">
        <v>109</v>
      </c>
      <c r="D110" s="45">
        <v>24.99</v>
      </c>
    </row>
    <row r="111" spans="1:4" x14ac:dyDescent="0.3">
      <c r="A111" s="45">
        <v>1007</v>
      </c>
      <c r="B111" s="16">
        <v>46029</v>
      </c>
      <c r="C111" s="45" t="s">
        <v>107</v>
      </c>
      <c r="D111" s="45">
        <v>75</v>
      </c>
    </row>
    <row r="112" spans="1:4" x14ac:dyDescent="0.3">
      <c r="A112" s="45"/>
      <c r="B112" s="45"/>
      <c r="C112" s="45" t="s">
        <v>110</v>
      </c>
      <c r="D112" s="4">
        <v>3</v>
      </c>
    </row>
    <row r="114" spans="1:3" x14ac:dyDescent="0.3">
      <c r="A114" s="27" t="s">
        <v>111</v>
      </c>
    </row>
    <row r="115" spans="1:3" ht="124.2" x14ac:dyDescent="0.3">
      <c r="A115" s="2" t="s">
        <v>112</v>
      </c>
    </row>
    <row r="116" spans="1:3" x14ac:dyDescent="0.3">
      <c r="A116" s="9" t="s">
        <v>113</v>
      </c>
      <c r="B116" s="9" t="s">
        <v>87</v>
      </c>
      <c r="C116" s="9" t="s">
        <v>114</v>
      </c>
    </row>
    <row r="117" spans="1:3" x14ac:dyDescent="0.3">
      <c r="A117" s="45" t="s">
        <v>115</v>
      </c>
      <c r="B117" s="45" t="s">
        <v>116</v>
      </c>
      <c r="C117" s="7">
        <v>48000</v>
      </c>
    </row>
    <row r="118" spans="1:3" x14ac:dyDescent="0.3">
      <c r="A118" s="45" t="s">
        <v>117</v>
      </c>
      <c r="B118" s="45" t="s">
        <v>90</v>
      </c>
      <c r="C118" s="7">
        <v>52000</v>
      </c>
    </row>
    <row r="119" spans="1:3" x14ac:dyDescent="0.3">
      <c r="A119" s="45" t="s">
        <v>118</v>
      </c>
      <c r="B119" s="45" t="s">
        <v>119</v>
      </c>
      <c r="C119" s="7">
        <v>56000</v>
      </c>
    </row>
    <row r="120" spans="1:3" x14ac:dyDescent="0.3">
      <c r="A120" s="45" t="s">
        <v>120</v>
      </c>
      <c r="B120" s="45" t="s">
        <v>92</v>
      </c>
      <c r="C120" s="7">
        <v>59000</v>
      </c>
    </row>
    <row r="121" spans="1:3" x14ac:dyDescent="0.3">
      <c r="A121" s="45" t="s">
        <v>121</v>
      </c>
      <c r="B121" s="45" t="s">
        <v>96</v>
      </c>
      <c r="C121" s="7">
        <v>62000</v>
      </c>
    </row>
    <row r="122" spans="1:3" x14ac:dyDescent="0.3">
      <c r="A122" s="45" t="s">
        <v>122</v>
      </c>
      <c r="B122" s="45" t="s">
        <v>123</v>
      </c>
      <c r="C122" s="7">
        <v>68000</v>
      </c>
    </row>
    <row r="123" spans="1:3" x14ac:dyDescent="0.3">
      <c r="A123" s="45" t="s">
        <v>124</v>
      </c>
      <c r="B123" s="45" t="s">
        <v>46</v>
      </c>
      <c r="C123" s="7">
        <v>74000</v>
      </c>
    </row>
    <row r="124" spans="1:3" x14ac:dyDescent="0.3">
      <c r="A124" s="45" t="s">
        <v>125</v>
      </c>
      <c r="B124" s="45" t="s">
        <v>126</v>
      </c>
      <c r="C124" s="7">
        <v>150000</v>
      </c>
    </row>
    <row r="125" spans="1:3" x14ac:dyDescent="0.3">
      <c r="A125" s="45" t="s">
        <v>127</v>
      </c>
      <c r="B125" s="8">
        <f>MEDIAN(C117:C124)</f>
        <v>60500</v>
      </c>
      <c r="C125" s="45"/>
    </row>
    <row r="126" spans="1:3" x14ac:dyDescent="0.3">
      <c r="A126" s="45" t="s">
        <v>128</v>
      </c>
      <c r="B126" s="45" t="s">
        <v>129</v>
      </c>
      <c r="C126" s="45"/>
    </row>
    <row r="127" spans="1:3" x14ac:dyDescent="0.3">
      <c r="A127" s="45"/>
    </row>
    <row r="128" spans="1:3" x14ac:dyDescent="0.3">
      <c r="A128" s="28" t="s">
        <v>130</v>
      </c>
    </row>
    <row r="129" spans="1:4" ht="179.4" x14ac:dyDescent="0.3">
      <c r="A129" s="45" t="s">
        <v>131</v>
      </c>
    </row>
    <row r="130" spans="1:4" x14ac:dyDescent="0.3">
      <c r="A130" s="45"/>
    </row>
    <row r="131" spans="1:4" x14ac:dyDescent="0.3">
      <c r="A131" s="9" t="s">
        <v>132</v>
      </c>
      <c r="B131" s="45"/>
      <c r="C131" s="45"/>
    </row>
    <row r="132" spans="1:4" x14ac:dyDescent="0.3">
      <c r="A132" s="17">
        <v>8.2500000000000004E-2</v>
      </c>
      <c r="B132" s="45"/>
      <c r="C132" s="45"/>
    </row>
    <row r="133" spans="1:4" x14ac:dyDescent="0.3">
      <c r="A133" s="45"/>
      <c r="B133" s="45"/>
      <c r="C133" s="45"/>
    </row>
    <row r="134" spans="1:4" x14ac:dyDescent="0.3">
      <c r="A134" s="9" t="s">
        <v>46</v>
      </c>
      <c r="B134" s="9" t="s">
        <v>9</v>
      </c>
      <c r="C134" s="9" t="s">
        <v>138</v>
      </c>
      <c r="D134" s="9" t="s">
        <v>137</v>
      </c>
    </row>
    <row r="135" spans="1:4" x14ac:dyDescent="0.3">
      <c r="A135" s="45" t="s">
        <v>13</v>
      </c>
      <c r="B135" s="45">
        <v>24.99</v>
      </c>
      <c r="C135" s="4">
        <f>B135*(1+A132)</f>
        <v>27.051674999999999</v>
      </c>
      <c r="D135" s="4">
        <f>B135*(1+$A$132)</f>
        <v>27.051674999999999</v>
      </c>
    </row>
    <row r="136" spans="1:4" x14ac:dyDescent="0.3">
      <c r="A136" s="45" t="s">
        <v>133</v>
      </c>
      <c r="B136" s="45">
        <v>15.5</v>
      </c>
      <c r="C136" s="4">
        <f>B136*(1+A133)</f>
        <v>15.5</v>
      </c>
      <c r="D136" s="4">
        <f t="shared" ref="D136:D139" si="4">B136*(1+$A$132)</f>
        <v>16.778749999999999</v>
      </c>
    </row>
    <row r="137" spans="1:4" x14ac:dyDescent="0.3">
      <c r="A137" s="45" t="s">
        <v>134</v>
      </c>
      <c r="B137" s="45">
        <v>89</v>
      </c>
      <c r="C137" s="4" t="e">
        <f>B137*(1+A134)</f>
        <v>#VALUE!</v>
      </c>
      <c r="D137" s="4">
        <f t="shared" si="4"/>
        <v>96.342500000000001</v>
      </c>
    </row>
    <row r="138" spans="1:4" x14ac:dyDescent="0.3">
      <c r="A138" s="45" t="s">
        <v>135</v>
      </c>
      <c r="B138" s="45">
        <v>5.25</v>
      </c>
      <c r="C138" s="4" t="e">
        <f t="shared" ref="C138:C139" si="5">B138*(1+A135)</f>
        <v>#VALUE!</v>
      </c>
      <c r="D138" s="4">
        <f t="shared" si="4"/>
        <v>5.6831250000000004</v>
      </c>
    </row>
    <row r="139" spans="1:4" x14ac:dyDescent="0.3">
      <c r="A139" s="45" t="s">
        <v>136</v>
      </c>
      <c r="B139" s="45">
        <v>12.75</v>
      </c>
      <c r="C139" s="4" t="e">
        <f t="shared" si="5"/>
        <v>#VALUE!</v>
      </c>
      <c r="D139" s="4">
        <f t="shared" si="4"/>
        <v>13.801875000000001</v>
      </c>
    </row>
    <row r="140" spans="1:4" x14ac:dyDescent="0.3">
      <c r="A140" s="45"/>
    </row>
    <row r="141" spans="1:4" x14ac:dyDescent="0.3">
      <c r="A141" s="27" t="s">
        <v>139</v>
      </c>
    </row>
    <row r="142" spans="1:4" ht="82.8" x14ac:dyDescent="0.3">
      <c r="A142" s="45" t="s">
        <v>140</v>
      </c>
    </row>
    <row r="143" spans="1:4" x14ac:dyDescent="0.3">
      <c r="A143" s="45"/>
    </row>
    <row r="144" spans="1:4" x14ac:dyDescent="0.3">
      <c r="A144" s="9" t="s">
        <v>87</v>
      </c>
      <c r="B144" s="9" t="s">
        <v>141</v>
      </c>
      <c r="C144" s="9" t="s">
        <v>142</v>
      </c>
    </row>
    <row r="145" spans="1:3" x14ac:dyDescent="0.3">
      <c r="A145" s="45" t="s">
        <v>119</v>
      </c>
      <c r="B145" s="18">
        <v>150000</v>
      </c>
      <c r="C145" s="19">
        <f>B145/$B$150</f>
        <v>0.15</v>
      </c>
    </row>
    <row r="146" spans="1:3" x14ac:dyDescent="0.3">
      <c r="A146" s="45" t="s">
        <v>96</v>
      </c>
      <c r="B146" s="18">
        <v>400000</v>
      </c>
      <c r="C146" s="19">
        <f>B146/$B$150</f>
        <v>0.4</v>
      </c>
    </row>
    <row r="147" spans="1:3" x14ac:dyDescent="0.3">
      <c r="A147" s="45" t="s">
        <v>90</v>
      </c>
      <c r="B147" s="18">
        <v>250000</v>
      </c>
      <c r="C147" s="19">
        <f>B147/$B$150</f>
        <v>0.25</v>
      </c>
    </row>
    <row r="148" spans="1:3" x14ac:dyDescent="0.3">
      <c r="A148" s="45" t="s">
        <v>143</v>
      </c>
      <c r="B148" s="18">
        <v>180000</v>
      </c>
      <c r="C148" s="19">
        <f>B148/$B$150</f>
        <v>0.18</v>
      </c>
    </row>
    <row r="149" spans="1:3" x14ac:dyDescent="0.3">
      <c r="A149" s="45" t="s">
        <v>116</v>
      </c>
      <c r="B149" s="18">
        <v>20000</v>
      </c>
      <c r="C149" s="19">
        <f>B149/$B$150</f>
        <v>0.02</v>
      </c>
    </row>
    <row r="150" spans="1:3" x14ac:dyDescent="0.3">
      <c r="A150" s="45" t="s">
        <v>144</v>
      </c>
      <c r="B150" s="20">
        <f>SUM(B145:B149)</f>
        <v>1000000</v>
      </c>
      <c r="C150" s="13"/>
    </row>
    <row r="151" spans="1:3" x14ac:dyDescent="0.3">
      <c r="A151" s="45"/>
      <c r="B151" s="45"/>
    </row>
    <row r="152" spans="1:3" x14ac:dyDescent="0.3">
      <c r="A152" s="28" t="s">
        <v>145</v>
      </c>
      <c r="B152" s="45"/>
    </row>
    <row r="153" spans="1:3" ht="138" x14ac:dyDescent="0.3">
      <c r="A153" s="45" t="s">
        <v>146</v>
      </c>
      <c r="B153" s="45"/>
    </row>
    <row r="154" spans="1:3" x14ac:dyDescent="0.3">
      <c r="A154" s="45" t="s">
        <v>147</v>
      </c>
      <c r="B154" s="45" t="s">
        <v>148</v>
      </c>
      <c r="C154" s="4" t="str">
        <f>_xlfn.CONCAT(A154," ",B154)</f>
        <v>John Doe</v>
      </c>
    </row>
    <row r="155" spans="1:3" x14ac:dyDescent="0.3">
      <c r="A155" s="45" t="s">
        <v>149</v>
      </c>
      <c r="B155" s="45" t="s">
        <v>150</v>
      </c>
      <c r="C155" s="4" t="str">
        <f t="shared" ref="C155:C161" si="6">_xlfn.CONCAT(A155," ",B155)</f>
        <v>Nicole Rogers</v>
      </c>
    </row>
    <row r="156" spans="1:3" x14ac:dyDescent="0.3">
      <c r="A156" s="45" t="s">
        <v>151</v>
      </c>
      <c r="B156" s="45" t="s">
        <v>152</v>
      </c>
      <c r="C156" s="4" t="str">
        <f t="shared" si="6"/>
        <v>Liam Simpson</v>
      </c>
    </row>
    <row r="157" spans="1:3" x14ac:dyDescent="0.3">
      <c r="A157" s="45" t="s">
        <v>153</v>
      </c>
      <c r="B157" s="45" t="s">
        <v>154</v>
      </c>
      <c r="C157" s="4" t="str">
        <f t="shared" si="6"/>
        <v>Peter Stein</v>
      </c>
    </row>
    <row r="158" spans="1:3" x14ac:dyDescent="0.3">
      <c r="A158" s="45" t="s">
        <v>155</v>
      </c>
      <c r="B158" s="45" t="s">
        <v>156</v>
      </c>
      <c r="C158" s="4" t="str">
        <f t="shared" si="6"/>
        <v>Anthony Newton</v>
      </c>
    </row>
    <row r="159" spans="1:3" x14ac:dyDescent="0.3">
      <c r="A159" s="45" t="s">
        <v>157</v>
      </c>
      <c r="B159" s="45" t="s">
        <v>158</v>
      </c>
      <c r="C159" s="4" t="str">
        <f t="shared" si="6"/>
        <v>Lydia Ross</v>
      </c>
    </row>
    <row r="160" spans="1:3" x14ac:dyDescent="0.3">
      <c r="A160" s="45" t="s">
        <v>159</v>
      </c>
      <c r="B160" s="45" t="s">
        <v>160</v>
      </c>
      <c r="C160" s="4" t="str">
        <f t="shared" si="6"/>
        <v>Emmy Watts</v>
      </c>
    </row>
    <row r="161" spans="1:4" x14ac:dyDescent="0.3">
      <c r="A161" s="45" t="s">
        <v>161</v>
      </c>
      <c r="B161" s="45" t="s">
        <v>162</v>
      </c>
      <c r="C161" s="4" t="str">
        <f t="shared" si="6"/>
        <v>David Fraser</v>
      </c>
    </row>
    <row r="162" spans="1:4" x14ac:dyDescent="0.3">
      <c r="A162" s="45"/>
    </row>
    <row r="163" spans="1:4" x14ac:dyDescent="0.3">
      <c r="A163" s="28" t="s">
        <v>164</v>
      </c>
    </row>
    <row r="164" spans="1:4" x14ac:dyDescent="0.3">
      <c r="A164" s="45"/>
    </row>
    <row r="165" spans="1:4" x14ac:dyDescent="0.3">
      <c r="A165" s="45" t="s">
        <v>163</v>
      </c>
    </row>
    <row r="166" spans="1:4" x14ac:dyDescent="0.3">
      <c r="A166" s="45"/>
    </row>
    <row r="167" spans="1:4" ht="69" x14ac:dyDescent="0.3">
      <c r="A167" s="45" t="s">
        <v>165</v>
      </c>
    </row>
    <row r="168" spans="1:4" x14ac:dyDescent="0.3">
      <c r="A168" s="45"/>
    </row>
    <row r="169" spans="1:4" x14ac:dyDescent="0.3">
      <c r="A169" s="9" t="s">
        <v>166</v>
      </c>
      <c r="B169" s="29" t="s">
        <v>198</v>
      </c>
      <c r="C169" s="9" t="s">
        <v>167</v>
      </c>
      <c r="D169" s="29" t="s">
        <v>199</v>
      </c>
    </row>
    <row r="170" spans="1:4" x14ac:dyDescent="0.3">
      <c r="A170" s="45" t="s">
        <v>168</v>
      </c>
      <c r="B170" s="4" t="s">
        <v>169</v>
      </c>
      <c r="C170" s="45" t="s">
        <v>170</v>
      </c>
      <c r="D170" s="4" t="s">
        <v>170</v>
      </c>
    </row>
    <row r="171" spans="1:4" x14ac:dyDescent="0.3">
      <c r="A171" s="45" t="s">
        <v>171</v>
      </c>
      <c r="B171" s="4" t="s">
        <v>172</v>
      </c>
      <c r="C171" s="45" t="s">
        <v>173</v>
      </c>
      <c r="D171" s="4" t="s">
        <v>173</v>
      </c>
    </row>
    <row r="172" spans="1:4" x14ac:dyDescent="0.3">
      <c r="A172" s="45" t="s">
        <v>174</v>
      </c>
      <c r="B172" s="4" t="s">
        <v>175</v>
      </c>
      <c r="C172" s="45" t="s">
        <v>176</v>
      </c>
      <c r="D172" s="4" t="s">
        <v>176</v>
      </c>
    </row>
    <row r="173" spans="1:4" x14ac:dyDescent="0.3">
      <c r="A173" s="45" t="s">
        <v>177</v>
      </c>
      <c r="B173" s="4" t="s">
        <v>178</v>
      </c>
      <c r="C173" s="45" t="s">
        <v>179</v>
      </c>
      <c r="D173" s="4" t="s">
        <v>179</v>
      </c>
    </row>
    <row r="174" spans="1:4" x14ac:dyDescent="0.3">
      <c r="A174" s="45" t="s">
        <v>180</v>
      </c>
      <c r="B174" s="4" t="s">
        <v>181</v>
      </c>
      <c r="C174" s="45" t="s">
        <v>182</v>
      </c>
      <c r="D174" s="4" t="s">
        <v>182</v>
      </c>
    </row>
    <row r="175" spans="1:4" x14ac:dyDescent="0.3">
      <c r="A175" s="45" t="s">
        <v>183</v>
      </c>
      <c r="B175" s="4" t="s">
        <v>184</v>
      </c>
      <c r="C175" s="45" t="s">
        <v>185</v>
      </c>
      <c r="D175" s="4" t="s">
        <v>185</v>
      </c>
    </row>
    <row r="176" spans="1:4" x14ac:dyDescent="0.3">
      <c r="A176" s="45" t="s">
        <v>186</v>
      </c>
      <c r="B176" s="4" t="s">
        <v>187</v>
      </c>
      <c r="C176" s="45" t="s">
        <v>188</v>
      </c>
      <c r="D176" s="4" t="s">
        <v>188</v>
      </c>
    </row>
    <row r="177" spans="1:4" x14ac:dyDescent="0.3">
      <c r="A177" s="45" t="s">
        <v>189</v>
      </c>
      <c r="B177" s="4" t="s">
        <v>190</v>
      </c>
      <c r="C177" s="45" t="s">
        <v>191</v>
      </c>
      <c r="D177" s="4" t="s">
        <v>191</v>
      </c>
    </row>
    <row r="178" spans="1:4" x14ac:dyDescent="0.3">
      <c r="A178" s="45" t="s">
        <v>192</v>
      </c>
      <c r="B178" s="4" t="s">
        <v>193</v>
      </c>
      <c r="C178" s="45" t="s">
        <v>194</v>
      </c>
      <c r="D178" s="4" t="s">
        <v>194</v>
      </c>
    </row>
    <row r="179" spans="1:4" x14ac:dyDescent="0.3">
      <c r="A179" s="45" t="s">
        <v>195</v>
      </c>
      <c r="B179" s="4" t="s">
        <v>196</v>
      </c>
      <c r="C179" s="45" t="s">
        <v>197</v>
      </c>
      <c r="D179" s="4" t="s">
        <v>197</v>
      </c>
    </row>
    <row r="181" spans="1:4" x14ac:dyDescent="0.3">
      <c r="A181" s="28" t="s">
        <v>200</v>
      </c>
    </row>
    <row r="182" spans="1:4" ht="96.6" x14ac:dyDescent="0.3">
      <c r="A182" s="2" t="s">
        <v>201</v>
      </c>
    </row>
    <row r="183" spans="1:4" x14ac:dyDescent="0.3">
      <c r="A183" s="6" t="s">
        <v>202</v>
      </c>
      <c r="B183" s="6" t="s">
        <v>203</v>
      </c>
    </row>
    <row r="184" spans="1:4" x14ac:dyDescent="0.3">
      <c r="A184" s="45" t="s">
        <v>204</v>
      </c>
      <c r="B184" s="21" t="str">
        <f>LEFT(A184,3)</f>
        <v>FIN</v>
      </c>
    </row>
    <row r="185" spans="1:4" x14ac:dyDescent="0.3">
      <c r="A185" s="45" t="s">
        <v>205</v>
      </c>
      <c r="B185" s="21" t="str">
        <f t="shared" ref="B185:B190" si="7">LEFT(A185,3)</f>
        <v>MKT</v>
      </c>
    </row>
    <row r="186" spans="1:4" x14ac:dyDescent="0.3">
      <c r="A186" s="45" t="s">
        <v>206</v>
      </c>
      <c r="B186" s="21" t="str">
        <f t="shared" si="7"/>
        <v>OPS</v>
      </c>
    </row>
    <row r="187" spans="1:4" x14ac:dyDescent="0.3">
      <c r="A187" s="45" t="s">
        <v>207</v>
      </c>
      <c r="B187" s="21" t="str">
        <f t="shared" si="7"/>
        <v>HRD</v>
      </c>
    </row>
    <row r="188" spans="1:4" x14ac:dyDescent="0.3">
      <c r="A188" s="45" t="s">
        <v>208</v>
      </c>
      <c r="B188" s="21" t="str">
        <f t="shared" si="7"/>
        <v>ITS</v>
      </c>
    </row>
    <row r="189" spans="1:4" x14ac:dyDescent="0.3">
      <c r="A189" s="45" t="s">
        <v>209</v>
      </c>
      <c r="B189" s="21" t="str">
        <f t="shared" si="7"/>
        <v>SLS</v>
      </c>
    </row>
    <row r="190" spans="1:4" x14ac:dyDescent="0.3">
      <c r="A190" s="45" t="s">
        <v>210</v>
      </c>
      <c r="B190" s="21" t="str">
        <f t="shared" si="7"/>
        <v>ADM</v>
      </c>
    </row>
    <row r="192" spans="1:4" x14ac:dyDescent="0.3">
      <c r="A192" s="28" t="s">
        <v>217</v>
      </c>
    </row>
    <row r="193" spans="1:5" x14ac:dyDescent="0.3">
      <c r="A193" s="1" t="s">
        <v>216</v>
      </c>
    </row>
    <row r="194" spans="1:5" ht="27.6" x14ac:dyDescent="0.3">
      <c r="A194" s="2" t="s">
        <v>218</v>
      </c>
    </row>
    <row r="195" spans="1:5" x14ac:dyDescent="0.3">
      <c r="A195" s="45" t="s">
        <v>219</v>
      </c>
      <c r="B195" s="45" t="s">
        <v>220</v>
      </c>
      <c r="C195" s="45" t="s">
        <v>221</v>
      </c>
    </row>
    <row r="196" spans="1:5" x14ac:dyDescent="0.3">
      <c r="A196" s="45" t="s">
        <v>222</v>
      </c>
      <c r="B196" s="45">
        <v>96</v>
      </c>
      <c r="C196" s="21" t="str">
        <f>IF(B196&gt;60,"Pass","Fail")</f>
        <v>Pass</v>
      </c>
    </row>
    <row r="197" spans="1:5" x14ac:dyDescent="0.3">
      <c r="A197" s="45" t="s">
        <v>223</v>
      </c>
      <c r="B197" s="45">
        <v>43</v>
      </c>
      <c r="C197" s="21" t="str">
        <f t="shared" ref="C197:C200" si="8">IF(B197&gt;60,"Pass","Fail")</f>
        <v>Fail</v>
      </c>
    </row>
    <row r="198" spans="1:5" x14ac:dyDescent="0.3">
      <c r="A198" s="45" t="s">
        <v>224</v>
      </c>
      <c r="B198" s="45">
        <v>20</v>
      </c>
      <c r="C198" s="21" t="str">
        <f t="shared" si="8"/>
        <v>Fail</v>
      </c>
    </row>
    <row r="199" spans="1:5" x14ac:dyDescent="0.3">
      <c r="A199" s="45" t="s">
        <v>225</v>
      </c>
      <c r="B199" s="45">
        <v>77</v>
      </c>
      <c r="C199" s="21" t="str">
        <f t="shared" si="8"/>
        <v>Pass</v>
      </c>
    </row>
    <row r="200" spans="1:5" x14ac:dyDescent="0.3">
      <c r="A200" s="45" t="s">
        <v>226</v>
      </c>
      <c r="B200" s="45">
        <v>76</v>
      </c>
      <c r="C200" s="21" t="str">
        <f t="shared" si="8"/>
        <v>Pass</v>
      </c>
    </row>
    <row r="202" spans="1:5" ht="82.8" x14ac:dyDescent="0.3">
      <c r="A202" s="2" t="s">
        <v>227</v>
      </c>
    </row>
    <row r="203" spans="1:5" x14ac:dyDescent="0.3">
      <c r="A203" s="45" t="s">
        <v>8</v>
      </c>
      <c r="B203" s="45"/>
      <c r="C203" s="45" t="s">
        <v>228</v>
      </c>
      <c r="D203" s="45" t="s">
        <v>229</v>
      </c>
    </row>
    <row r="204" spans="1:5" x14ac:dyDescent="0.3">
      <c r="A204" s="45">
        <v>0</v>
      </c>
      <c r="B204" s="45"/>
      <c r="C204" s="45" t="s">
        <v>230</v>
      </c>
      <c r="D204" s="4" t="str">
        <f>IF(OR(AND(A2&gt;15,A2&lt;30),A2 &gt; 55),"Yes","No")</f>
        <v>No</v>
      </c>
      <c r="E204" s="1" t="str">
        <f ca="1">_xlfn.FORMULATEXT(D204)</f>
        <v>=IF(OR(AND(A2&gt;15,A2&lt;30),A2 &gt; 55),"Yes","No")</v>
      </c>
    </row>
    <row r="205" spans="1:5" x14ac:dyDescent="0.3">
      <c r="A205" s="45">
        <v>15</v>
      </c>
      <c r="B205" s="45"/>
      <c r="C205" s="45" t="s">
        <v>230</v>
      </c>
      <c r="D205" s="4" t="str">
        <f t="shared" ref="D205:D210" si="9">IF(OR(AND(A3&gt;15,A3&lt;30),A3 &gt; 55),"Yes","No")</f>
        <v>No</v>
      </c>
    </row>
    <row r="206" spans="1:5" x14ac:dyDescent="0.3">
      <c r="A206" s="45">
        <v>16</v>
      </c>
      <c r="B206" s="45"/>
      <c r="C206" s="45" t="s">
        <v>231</v>
      </c>
      <c r="D206" s="4" t="str">
        <f t="shared" si="9"/>
        <v>No</v>
      </c>
    </row>
    <row r="207" spans="1:5" x14ac:dyDescent="0.3">
      <c r="A207" s="45">
        <v>29</v>
      </c>
      <c r="B207" s="45"/>
      <c r="C207" s="45" t="s">
        <v>231</v>
      </c>
      <c r="D207" s="4" t="str">
        <f t="shared" si="9"/>
        <v>No</v>
      </c>
    </row>
    <row r="208" spans="1:5" x14ac:dyDescent="0.3">
      <c r="A208" s="45">
        <v>30</v>
      </c>
      <c r="B208" s="45"/>
      <c r="C208" s="45" t="s">
        <v>230</v>
      </c>
      <c r="D208" s="4" t="str">
        <f t="shared" si="9"/>
        <v>Yes</v>
      </c>
    </row>
    <row r="209" spans="1:5" x14ac:dyDescent="0.3">
      <c r="A209" s="45">
        <v>55</v>
      </c>
      <c r="B209" s="45"/>
      <c r="C209" s="45" t="s">
        <v>230</v>
      </c>
      <c r="D209" s="4" t="str">
        <f t="shared" si="9"/>
        <v>No</v>
      </c>
    </row>
    <row r="210" spans="1:5" x14ac:dyDescent="0.3">
      <c r="A210" s="45">
        <v>56</v>
      </c>
      <c r="B210" s="45"/>
      <c r="C210" s="45" t="s">
        <v>231</v>
      </c>
      <c r="D210" s="4" t="str">
        <f t="shared" si="9"/>
        <v>Yes</v>
      </c>
    </row>
    <row r="211" spans="1:5" x14ac:dyDescent="0.3">
      <c r="A211" s="2"/>
    </row>
    <row r="212" spans="1:5" x14ac:dyDescent="0.3">
      <c r="A212" s="28" t="s">
        <v>233</v>
      </c>
    </row>
    <row r="213" spans="1:5" x14ac:dyDescent="0.3">
      <c r="A213" s="2" t="s">
        <v>232</v>
      </c>
    </row>
    <row r="214" spans="1:5" ht="96.6" x14ac:dyDescent="0.3">
      <c r="A214" s="2" t="s">
        <v>234</v>
      </c>
    </row>
    <row r="215" spans="1:5" x14ac:dyDescent="0.3">
      <c r="A215" s="6" t="s">
        <v>235</v>
      </c>
      <c r="B215" s="6" t="s">
        <v>236</v>
      </c>
      <c r="C215" s="6" t="s">
        <v>237</v>
      </c>
      <c r="D215" s="6" t="s">
        <v>238</v>
      </c>
      <c r="E215" s="6" t="s">
        <v>251</v>
      </c>
    </row>
    <row r="216" spans="1:5" x14ac:dyDescent="0.3">
      <c r="A216" s="45" t="s">
        <v>239</v>
      </c>
      <c r="B216" s="45" t="s">
        <v>240</v>
      </c>
      <c r="C216" s="16">
        <v>35594</v>
      </c>
      <c r="D216" s="4">
        <f ca="1">DATEDIF(C216,TODAY(),"Y")</f>
        <v>29</v>
      </c>
      <c r="E216" s="4">
        <f ca="1">DATEDIF(C216,TODAY(),"M")</f>
        <v>348</v>
      </c>
    </row>
    <row r="217" spans="1:5" x14ac:dyDescent="0.3">
      <c r="A217" s="45" t="s">
        <v>241</v>
      </c>
      <c r="B217" s="45" t="s">
        <v>242</v>
      </c>
      <c r="C217" s="16">
        <v>33768</v>
      </c>
      <c r="D217" s="4">
        <f t="shared" ref="D217:D221" ca="1" si="10">DATEDIF(C217,TODAY(),"Y")</f>
        <v>34</v>
      </c>
      <c r="E217" s="4">
        <f t="shared" ref="E217:E221" ca="1" si="11">DATEDIF(C217,TODAY(),"M")</f>
        <v>408</v>
      </c>
    </row>
    <row r="218" spans="1:5" x14ac:dyDescent="0.3">
      <c r="A218" s="45" t="s">
        <v>243</v>
      </c>
      <c r="B218" s="45" t="s">
        <v>244</v>
      </c>
      <c r="C218" s="16">
        <v>31211</v>
      </c>
      <c r="D218" s="4">
        <f t="shared" ca="1" si="10"/>
        <v>41</v>
      </c>
      <c r="E218" s="4">
        <f t="shared" ca="1" si="11"/>
        <v>492</v>
      </c>
    </row>
    <row r="219" spans="1:5" x14ac:dyDescent="0.3">
      <c r="A219" s="45" t="s">
        <v>245</v>
      </c>
      <c r="B219" s="45" t="s">
        <v>246</v>
      </c>
      <c r="C219" s="16">
        <v>38151</v>
      </c>
      <c r="D219" s="4">
        <f t="shared" ca="1" si="10"/>
        <v>22</v>
      </c>
      <c r="E219" s="4">
        <f t="shared" ca="1" si="11"/>
        <v>264</v>
      </c>
    </row>
    <row r="220" spans="1:5" x14ac:dyDescent="0.3">
      <c r="A220" s="45" t="s">
        <v>247</v>
      </c>
      <c r="B220" s="45" t="s">
        <v>248</v>
      </c>
      <c r="C220" s="16">
        <v>25002</v>
      </c>
      <c r="D220" s="4">
        <f t="shared" ca="1" si="10"/>
        <v>58</v>
      </c>
      <c r="E220" s="4">
        <f t="shared" ca="1" si="11"/>
        <v>696</v>
      </c>
    </row>
    <row r="221" spans="1:5" x14ac:dyDescent="0.3">
      <c r="A221" s="45" t="s">
        <v>249</v>
      </c>
      <c r="B221" s="45" t="s">
        <v>250</v>
      </c>
      <c r="C221" s="16">
        <v>29750</v>
      </c>
      <c r="D221" s="4">
        <f t="shared" ca="1" si="10"/>
        <v>45</v>
      </c>
      <c r="E221" s="4">
        <f t="shared" ca="1" si="11"/>
        <v>540</v>
      </c>
    </row>
    <row r="223" spans="1:5" x14ac:dyDescent="0.3">
      <c r="A223" s="28" t="s">
        <v>252</v>
      </c>
    </row>
    <row r="224" spans="1:5" ht="69" x14ac:dyDescent="0.3">
      <c r="A224" s="2" t="s">
        <v>253</v>
      </c>
    </row>
    <row r="225" spans="1:3" ht="96.6" x14ac:dyDescent="0.3">
      <c r="A225" s="2" t="s">
        <v>254</v>
      </c>
    </row>
    <row r="226" spans="1:3" x14ac:dyDescent="0.3">
      <c r="A226" s="9" t="s">
        <v>255</v>
      </c>
      <c r="B226" s="9" t="s">
        <v>256</v>
      </c>
      <c r="C226" s="9" t="s">
        <v>47</v>
      </c>
    </row>
    <row r="227" spans="1:3" x14ac:dyDescent="0.3">
      <c r="A227" s="45" t="s">
        <v>257</v>
      </c>
      <c r="B227" s="45" t="s">
        <v>258</v>
      </c>
      <c r="C227" s="45" t="s">
        <v>89</v>
      </c>
    </row>
    <row r="228" spans="1:3" x14ac:dyDescent="0.3">
      <c r="A228" s="45" t="s">
        <v>259</v>
      </c>
      <c r="B228" s="45" t="s">
        <v>260</v>
      </c>
      <c r="C228" s="45" t="s">
        <v>89</v>
      </c>
    </row>
    <row r="229" spans="1:3" x14ac:dyDescent="0.3">
      <c r="A229" s="45" t="s">
        <v>261</v>
      </c>
      <c r="B229" s="45" t="s">
        <v>262</v>
      </c>
      <c r="C229" s="45" t="s">
        <v>263</v>
      </c>
    </row>
    <row r="230" spans="1:3" x14ac:dyDescent="0.3">
      <c r="A230" s="45" t="s">
        <v>264</v>
      </c>
      <c r="B230" s="45" t="s">
        <v>265</v>
      </c>
      <c r="C230" s="45" t="s">
        <v>89</v>
      </c>
    </row>
    <row r="231" spans="1:3" x14ac:dyDescent="0.3">
      <c r="A231" s="45" t="s">
        <v>266</v>
      </c>
      <c r="B231" s="45" t="s">
        <v>267</v>
      </c>
      <c r="C231" s="45" t="s">
        <v>89</v>
      </c>
    </row>
    <row r="232" spans="1:3" x14ac:dyDescent="0.3">
      <c r="A232" s="45" t="s">
        <v>268</v>
      </c>
      <c r="B232" s="45" t="s">
        <v>269</v>
      </c>
      <c r="C232" s="45" t="s">
        <v>263</v>
      </c>
    </row>
    <row r="233" spans="1:3" x14ac:dyDescent="0.3">
      <c r="A233" s="45" t="s">
        <v>270</v>
      </c>
      <c r="B233" s="45" t="s">
        <v>271</v>
      </c>
      <c r="C233" s="45" t="s">
        <v>89</v>
      </c>
    </row>
    <row r="234" spans="1:3" x14ac:dyDescent="0.3">
      <c r="A234" s="45"/>
      <c r="B234" s="45"/>
      <c r="C234" s="45"/>
    </row>
    <row r="235" spans="1:3" x14ac:dyDescent="0.3">
      <c r="A235" s="13" t="s">
        <v>272</v>
      </c>
      <c r="B235" s="45" t="s">
        <v>261</v>
      </c>
      <c r="C235" s="45"/>
    </row>
    <row r="236" spans="1:3" x14ac:dyDescent="0.3">
      <c r="A236" s="13" t="s">
        <v>47</v>
      </c>
      <c r="B236" s="4" t="str">
        <f>_xlfn.XLOOKUP(B235,A227:A233,C227:C233,0)</f>
        <v>Office equipment</v>
      </c>
      <c r="C236" s="49" t="str">
        <f ca="1">_xlfn.FORMULATEXT(B236)</f>
        <v>=XLOOKUP(B235,A227:A233,C227:C233,0)</v>
      </c>
    </row>
    <row r="237" spans="1:3" x14ac:dyDescent="0.3">
      <c r="C237" s="49"/>
    </row>
    <row r="238" spans="1:3" x14ac:dyDescent="0.3">
      <c r="A238" s="28" t="s">
        <v>274</v>
      </c>
    </row>
    <row r="239" spans="1:3" ht="69" x14ac:dyDescent="0.3">
      <c r="A239" s="2" t="s">
        <v>273</v>
      </c>
    </row>
    <row r="241" spans="1:3" x14ac:dyDescent="0.3">
      <c r="A241" s="9" t="s">
        <v>202</v>
      </c>
      <c r="B241" s="9" t="s">
        <v>275</v>
      </c>
      <c r="C241" s="9" t="s">
        <v>276</v>
      </c>
    </row>
    <row r="242" spans="1:3" x14ac:dyDescent="0.3">
      <c r="A242" s="45" t="s">
        <v>277</v>
      </c>
      <c r="B242" s="45" t="s">
        <v>278</v>
      </c>
      <c r="C242" s="45">
        <v>342</v>
      </c>
    </row>
    <row r="243" spans="1:3" x14ac:dyDescent="0.3">
      <c r="A243" s="45" t="s">
        <v>279</v>
      </c>
      <c r="B243" s="45" t="s">
        <v>280</v>
      </c>
      <c r="C243" s="45">
        <v>128</v>
      </c>
    </row>
    <row r="244" spans="1:3" x14ac:dyDescent="0.3">
      <c r="A244" s="45" t="s">
        <v>281</v>
      </c>
      <c r="B244" s="45" t="s">
        <v>282</v>
      </c>
      <c r="C244" s="45">
        <v>56</v>
      </c>
    </row>
    <row r="245" spans="1:3" x14ac:dyDescent="0.3">
      <c r="A245" s="45" t="s">
        <v>283</v>
      </c>
      <c r="B245" s="45" t="s">
        <v>284</v>
      </c>
      <c r="C245" s="45">
        <v>89</v>
      </c>
    </row>
    <row r="246" spans="1:3" x14ac:dyDescent="0.3">
      <c r="A246" s="45" t="s">
        <v>285</v>
      </c>
      <c r="B246" s="45" t="s">
        <v>286</v>
      </c>
      <c r="C246" s="45">
        <v>203</v>
      </c>
    </row>
    <row r="247" spans="1:3" x14ac:dyDescent="0.3">
      <c r="A247" s="45" t="s">
        <v>287</v>
      </c>
      <c r="B247" s="45" t="s">
        <v>288</v>
      </c>
      <c r="C247" s="45">
        <v>74</v>
      </c>
    </row>
    <row r="248" spans="1:3" x14ac:dyDescent="0.3">
      <c r="A248" s="45" t="s">
        <v>289</v>
      </c>
      <c r="B248" s="45" t="s">
        <v>290</v>
      </c>
      <c r="C248" s="45">
        <v>165</v>
      </c>
    </row>
    <row r="249" spans="1:3" x14ac:dyDescent="0.3">
      <c r="A249" s="45"/>
      <c r="B249" s="45"/>
      <c r="C249" s="45"/>
    </row>
    <row r="250" spans="1:3" x14ac:dyDescent="0.3">
      <c r="A250" s="9" t="s">
        <v>202</v>
      </c>
      <c r="B250" s="9" t="s">
        <v>275</v>
      </c>
      <c r="C250" s="9" t="s">
        <v>291</v>
      </c>
    </row>
    <row r="251" spans="1:3" x14ac:dyDescent="0.3">
      <c r="A251" s="45" t="s">
        <v>283</v>
      </c>
      <c r="B251" s="45" t="s">
        <v>284</v>
      </c>
      <c r="C251" s="4">
        <f>_xlfn.XLOOKUP(A251,A$242:A$248,$C$242:$C$248,0)</f>
        <v>89</v>
      </c>
    </row>
    <row r="252" spans="1:3" x14ac:dyDescent="0.3">
      <c r="A252" s="45" t="s">
        <v>277</v>
      </c>
      <c r="B252" s="45" t="s">
        <v>278</v>
      </c>
      <c r="C252" s="4">
        <f t="shared" ref="C252:C254" si="12">_xlfn.XLOOKUP(A252,A$242:A$248,$C$242:$C$248,0)</f>
        <v>342</v>
      </c>
    </row>
    <row r="253" spans="1:3" x14ac:dyDescent="0.3">
      <c r="A253" s="45" t="s">
        <v>289</v>
      </c>
      <c r="B253" s="45" t="s">
        <v>290</v>
      </c>
      <c r="C253" s="4">
        <f t="shared" si="12"/>
        <v>165</v>
      </c>
    </row>
    <row r="254" spans="1:3" x14ac:dyDescent="0.3">
      <c r="A254" s="45" t="s">
        <v>285</v>
      </c>
      <c r="B254" s="45" t="s">
        <v>286</v>
      </c>
      <c r="C254" s="4">
        <f t="shared" si="12"/>
        <v>203</v>
      </c>
    </row>
    <row r="256" spans="1:3" x14ac:dyDescent="0.3">
      <c r="B256" s="52" t="str">
        <f ca="1">_xlfn.FORMULATEXT(C251)</f>
        <v>=XLOOKUP(A251,A$242:A$248,$C$242:$C$248,0)</v>
      </c>
      <c r="C256" s="52"/>
    </row>
    <row r="258" spans="1:4" x14ac:dyDescent="0.3">
      <c r="A258" s="28" t="s">
        <v>292</v>
      </c>
    </row>
    <row r="259" spans="1:4" x14ac:dyDescent="0.3">
      <c r="A259" s="1" t="s">
        <v>216</v>
      </c>
    </row>
    <row r="260" spans="1:4" ht="55.2" x14ac:dyDescent="0.3">
      <c r="A260" s="2" t="s">
        <v>293</v>
      </c>
    </row>
    <row r="261" spans="1:4" x14ac:dyDescent="0.3">
      <c r="A261" s="9" t="s">
        <v>113</v>
      </c>
      <c r="B261" s="9" t="s">
        <v>294</v>
      </c>
      <c r="C261" s="9" t="s">
        <v>295</v>
      </c>
      <c r="D261" s="9" t="s">
        <v>296</v>
      </c>
    </row>
    <row r="262" spans="1:4" x14ac:dyDescent="0.3">
      <c r="A262" s="45" t="s">
        <v>297</v>
      </c>
      <c r="B262" s="18">
        <v>52000</v>
      </c>
      <c r="C262" s="18">
        <v>50000</v>
      </c>
      <c r="D262" s="22">
        <f>IF(B262&gt;C262,B262*10%,0)</f>
        <v>5200</v>
      </c>
    </row>
    <row r="263" spans="1:4" x14ac:dyDescent="0.3">
      <c r="A263" s="45" t="s">
        <v>298</v>
      </c>
      <c r="B263" s="18">
        <v>48000</v>
      </c>
      <c r="C263" s="18">
        <v>50000</v>
      </c>
      <c r="D263" s="22">
        <f t="shared" ref="D263:D268" si="13">IF(B263&gt;C263,B263*10%,0)</f>
        <v>0</v>
      </c>
    </row>
    <row r="264" spans="1:4" x14ac:dyDescent="0.3">
      <c r="A264" s="45" t="s">
        <v>299</v>
      </c>
      <c r="B264" s="18">
        <v>50000</v>
      </c>
      <c r="C264" s="18">
        <v>50000</v>
      </c>
      <c r="D264" s="22">
        <f t="shared" si="13"/>
        <v>0</v>
      </c>
    </row>
    <row r="265" spans="1:4" x14ac:dyDescent="0.3">
      <c r="A265" s="45" t="s">
        <v>225</v>
      </c>
      <c r="B265" s="18">
        <v>61000</v>
      </c>
      <c r="C265" s="18">
        <v>60000</v>
      </c>
      <c r="D265" s="22">
        <f t="shared" si="13"/>
        <v>6100</v>
      </c>
    </row>
    <row r="266" spans="1:4" x14ac:dyDescent="0.3">
      <c r="A266" s="45" t="s">
        <v>300</v>
      </c>
      <c r="B266" s="18">
        <v>39900</v>
      </c>
      <c r="C266" s="18">
        <v>35000</v>
      </c>
      <c r="D266" s="22">
        <f t="shared" si="13"/>
        <v>3990</v>
      </c>
    </row>
    <row r="267" spans="1:4" x14ac:dyDescent="0.3">
      <c r="A267" s="45" t="s">
        <v>301</v>
      </c>
      <c r="B267" s="18">
        <v>27500</v>
      </c>
      <c r="C267" s="18">
        <v>30000</v>
      </c>
      <c r="D267" s="22">
        <f t="shared" si="13"/>
        <v>0</v>
      </c>
    </row>
    <row r="268" spans="1:4" x14ac:dyDescent="0.3">
      <c r="A268" s="45" t="s">
        <v>302</v>
      </c>
      <c r="B268" s="18">
        <v>74500</v>
      </c>
      <c r="C268" s="18">
        <v>70000</v>
      </c>
      <c r="D268" s="22">
        <f t="shared" si="13"/>
        <v>7450</v>
      </c>
    </row>
    <row r="269" spans="1:4" x14ac:dyDescent="0.3">
      <c r="D269" s="1" t="str">
        <f ca="1">_xlfn.FORMULATEXT(D262)</f>
        <v>=IF(B262&gt;C262,B262*10%,0)</v>
      </c>
    </row>
    <row r="270" spans="1:4" x14ac:dyDescent="0.3">
      <c r="A270" s="28" t="s">
        <v>303</v>
      </c>
    </row>
    <row r="271" spans="1:4" x14ac:dyDescent="0.3">
      <c r="A271" s="15" t="s">
        <v>216</v>
      </c>
    </row>
    <row r="272" spans="1:4" ht="69" x14ac:dyDescent="0.3">
      <c r="A272" s="2" t="s">
        <v>304</v>
      </c>
    </row>
    <row r="274" spans="1:4" x14ac:dyDescent="0.3">
      <c r="A274" s="9" t="s">
        <v>305</v>
      </c>
      <c r="B274" s="9" t="s">
        <v>306</v>
      </c>
      <c r="C274" s="9" t="s">
        <v>295</v>
      </c>
      <c r="D274" s="9" t="s">
        <v>307</v>
      </c>
    </row>
    <row r="275" spans="1:4" x14ac:dyDescent="0.3">
      <c r="A275" s="45" t="s">
        <v>297</v>
      </c>
      <c r="B275" s="18">
        <v>12500</v>
      </c>
      <c r="C275" s="18">
        <v>12000</v>
      </c>
      <c r="D275" s="4" t="str">
        <f>IF(B275&gt;=C275,"On Target","Below Target")</f>
        <v>On Target</v>
      </c>
    </row>
    <row r="276" spans="1:4" x14ac:dyDescent="0.3">
      <c r="A276" s="45" t="s">
        <v>298</v>
      </c>
      <c r="B276" s="18">
        <v>9800</v>
      </c>
      <c r="C276" s="18">
        <v>11000</v>
      </c>
      <c r="D276" s="4" t="str">
        <f t="shared" ref="D276:D281" si="14">IF(B276&gt;=C276,"On Target","Below Target")</f>
        <v>Below Target</v>
      </c>
    </row>
    <row r="277" spans="1:4" x14ac:dyDescent="0.3">
      <c r="A277" s="45" t="s">
        <v>299</v>
      </c>
      <c r="B277" s="18">
        <v>15000</v>
      </c>
      <c r="C277" s="18">
        <v>15000</v>
      </c>
      <c r="D277" s="4" t="str">
        <f t="shared" si="14"/>
        <v>On Target</v>
      </c>
    </row>
    <row r="278" spans="1:4" x14ac:dyDescent="0.3">
      <c r="A278" s="45" t="s">
        <v>225</v>
      </c>
      <c r="B278" s="18">
        <v>7200</v>
      </c>
      <c r="C278" s="18">
        <v>7000</v>
      </c>
      <c r="D278" s="4" t="str">
        <f t="shared" si="14"/>
        <v>On Target</v>
      </c>
    </row>
    <row r="279" spans="1:4" x14ac:dyDescent="0.3">
      <c r="A279" s="45" t="s">
        <v>300</v>
      </c>
      <c r="B279" s="18">
        <v>6400</v>
      </c>
      <c r="C279" s="18">
        <v>8000</v>
      </c>
      <c r="D279" s="4" t="str">
        <f t="shared" si="14"/>
        <v>Below Target</v>
      </c>
    </row>
    <row r="280" spans="1:4" x14ac:dyDescent="0.3">
      <c r="A280" s="45" t="s">
        <v>301</v>
      </c>
      <c r="B280" s="18">
        <v>18300</v>
      </c>
      <c r="C280" s="18">
        <v>17500</v>
      </c>
      <c r="D280" s="4" t="str">
        <f t="shared" si="14"/>
        <v>On Target</v>
      </c>
    </row>
    <row r="281" spans="1:4" x14ac:dyDescent="0.3">
      <c r="A281" s="45" t="s">
        <v>302</v>
      </c>
      <c r="B281" s="18">
        <v>10500</v>
      </c>
      <c r="C281" s="18">
        <v>10000</v>
      </c>
      <c r="D281" s="4" t="str">
        <f t="shared" si="14"/>
        <v>On Target</v>
      </c>
    </row>
    <row r="283" spans="1:4" x14ac:dyDescent="0.3">
      <c r="A283" s="28" t="s">
        <v>308</v>
      </c>
      <c r="D283" s="1" t="str">
        <f ca="1">_xlfn.FORMULATEXT(D275)</f>
        <v>=IF(B275&gt;=C275,"On Target","Below Target")</v>
      </c>
    </row>
    <row r="284" spans="1:4" x14ac:dyDescent="0.3">
      <c r="A284" s="2" t="s">
        <v>318</v>
      </c>
    </row>
    <row r="285" spans="1:4" x14ac:dyDescent="0.3">
      <c r="A285" s="2" t="s">
        <v>319</v>
      </c>
    </row>
    <row r="286" spans="1:4" x14ac:dyDescent="0.3">
      <c r="A286" s="2" t="s">
        <v>320</v>
      </c>
    </row>
    <row r="287" spans="1:4" x14ac:dyDescent="0.3">
      <c r="A287" s="2" t="s">
        <v>321</v>
      </c>
    </row>
    <row r="288" spans="1:4" x14ac:dyDescent="0.3">
      <c r="A288" s="2" t="s">
        <v>322</v>
      </c>
    </row>
    <row r="289" spans="1:5" x14ac:dyDescent="0.3">
      <c r="A289" s="2" t="s">
        <v>309</v>
      </c>
    </row>
    <row r="290" spans="1:5" x14ac:dyDescent="0.3">
      <c r="A290" s="2" t="s">
        <v>323</v>
      </c>
    </row>
    <row r="291" spans="1:5" x14ac:dyDescent="0.3">
      <c r="A291" s="2" t="s">
        <v>324</v>
      </c>
    </row>
    <row r="292" spans="1:5" x14ac:dyDescent="0.3">
      <c r="A292" s="2" t="s">
        <v>325</v>
      </c>
    </row>
    <row r="294" spans="1:5" x14ac:dyDescent="0.3">
      <c r="A294" s="9" t="s">
        <v>310</v>
      </c>
      <c r="B294" s="9" t="s">
        <v>311</v>
      </c>
      <c r="C294" s="9" t="s">
        <v>312</v>
      </c>
      <c r="D294" s="9" t="s">
        <v>313</v>
      </c>
    </row>
    <row r="295" spans="1:5" x14ac:dyDescent="0.3">
      <c r="A295" s="45" t="s">
        <v>314</v>
      </c>
      <c r="B295" s="18">
        <v>120000</v>
      </c>
      <c r="C295" s="18">
        <v>135000</v>
      </c>
      <c r="D295" s="19">
        <f>(C295-B295)/B295</f>
        <v>0.125</v>
      </c>
      <c r="E295" s="1" t="str">
        <f ca="1">_xlfn.FORMULATEXT(D295)</f>
        <v>=(C295-B295)/B295</v>
      </c>
    </row>
    <row r="296" spans="1:5" x14ac:dyDescent="0.3">
      <c r="A296" s="45" t="s">
        <v>315</v>
      </c>
      <c r="B296" s="18">
        <v>145000</v>
      </c>
      <c r="C296" s="18">
        <v>160000</v>
      </c>
      <c r="D296" s="19">
        <f t="shared" ref="D296:D299" si="15">(C296-B296)/B296</f>
        <v>0.10344827586206896</v>
      </c>
    </row>
    <row r="297" spans="1:5" x14ac:dyDescent="0.3">
      <c r="A297" s="45" t="s">
        <v>316</v>
      </c>
      <c r="B297" s="18">
        <v>130000</v>
      </c>
      <c r="C297" s="18">
        <v>125000</v>
      </c>
      <c r="D297" s="19">
        <f t="shared" si="15"/>
        <v>-3.8461538461538464E-2</v>
      </c>
    </row>
    <row r="298" spans="1:5" x14ac:dyDescent="0.3">
      <c r="A298" s="45" t="s">
        <v>317</v>
      </c>
      <c r="B298" s="18">
        <v>155000</v>
      </c>
      <c r="C298" s="18">
        <v>170000</v>
      </c>
      <c r="D298" s="19">
        <f t="shared" si="15"/>
        <v>9.6774193548387094E-2</v>
      </c>
    </row>
    <row r="299" spans="1:5" x14ac:dyDescent="0.3">
      <c r="A299" s="13" t="s">
        <v>26</v>
      </c>
      <c r="B299" s="20">
        <f>SUM(B295:B298)</f>
        <v>550000</v>
      </c>
      <c r="C299" s="20">
        <f>SUM(C295:C298)</f>
        <v>590000</v>
      </c>
      <c r="D299" s="19">
        <f t="shared" si="15"/>
        <v>7.2727272727272724E-2</v>
      </c>
    </row>
    <row r="301" spans="1:5" x14ac:dyDescent="0.3">
      <c r="A301" s="28" t="s">
        <v>326</v>
      </c>
    </row>
    <row r="302" spans="1:5" x14ac:dyDescent="0.3">
      <c r="A302" s="45" t="s">
        <v>346</v>
      </c>
    </row>
    <row r="303" spans="1:5" x14ac:dyDescent="0.3">
      <c r="A303" s="30"/>
    </row>
    <row r="304" spans="1:5" x14ac:dyDescent="0.3">
      <c r="A304" s="30" t="s">
        <v>347</v>
      </c>
    </row>
    <row r="305" spans="1:7" x14ac:dyDescent="0.3">
      <c r="A305" s="30" t="s">
        <v>348</v>
      </c>
    </row>
    <row r="306" spans="1:7" x14ac:dyDescent="0.3">
      <c r="A306" s="15"/>
    </row>
    <row r="307" spans="1:7" x14ac:dyDescent="0.3">
      <c r="A307" s="45" t="s">
        <v>327</v>
      </c>
    </row>
    <row r="308" spans="1:7" x14ac:dyDescent="0.3">
      <c r="A308" s="30"/>
    </row>
    <row r="309" spans="1:7" x14ac:dyDescent="0.3">
      <c r="A309" s="30" t="s">
        <v>349</v>
      </c>
    </row>
    <row r="310" spans="1:7" x14ac:dyDescent="0.3">
      <c r="A310" s="30" t="s">
        <v>350</v>
      </c>
    </row>
    <row r="311" spans="1:7" x14ac:dyDescent="0.3">
      <c r="A311" s="30" t="s">
        <v>351</v>
      </c>
    </row>
    <row r="312" spans="1:7" x14ac:dyDescent="0.3">
      <c r="A312" s="31" t="s">
        <v>328</v>
      </c>
    </row>
    <row r="314" spans="1:7" x14ac:dyDescent="0.3">
      <c r="A314" s="6" t="s">
        <v>329</v>
      </c>
      <c r="B314" s="6" t="s">
        <v>330</v>
      </c>
      <c r="C314" s="6" t="s">
        <v>9</v>
      </c>
      <c r="D314" s="6" t="s">
        <v>8</v>
      </c>
      <c r="E314" s="6" t="s">
        <v>331</v>
      </c>
      <c r="F314" s="6"/>
    </row>
    <row r="315" spans="1:7" x14ac:dyDescent="0.3">
      <c r="A315" s="45" t="s">
        <v>332</v>
      </c>
      <c r="B315" s="45" t="s">
        <v>333</v>
      </c>
      <c r="C315" s="45">
        <v>25.2</v>
      </c>
      <c r="D315" s="45">
        <v>100</v>
      </c>
      <c r="E315" s="45" t="s">
        <v>334</v>
      </c>
      <c r="F315" s="4">
        <f>SUMPRODUCT(D315:D322)</f>
        <v>700</v>
      </c>
      <c r="G315" s="1" t="str">
        <f ca="1">_xlfn.FORMULATEXT(F315)</f>
        <v>=SUMPRODUCT(D315:D322)</v>
      </c>
    </row>
    <row r="316" spans="1:7" x14ac:dyDescent="0.3">
      <c r="A316" s="45" t="s">
        <v>335</v>
      </c>
      <c r="B316" s="45" t="s">
        <v>336</v>
      </c>
      <c r="C316" s="45">
        <v>24.2</v>
      </c>
      <c r="D316" s="45">
        <v>120</v>
      </c>
      <c r="E316" s="45" t="s">
        <v>337</v>
      </c>
      <c r="F316" s="4" cm="1">
        <f t="array" ref="F316">SUMPRODUCT(C315:C322*D315:D322)</f>
        <v>16947</v>
      </c>
    </row>
    <row r="317" spans="1:7" x14ac:dyDescent="0.3">
      <c r="A317" s="45" t="s">
        <v>338</v>
      </c>
      <c r="B317" s="45" t="s">
        <v>339</v>
      </c>
      <c r="C317" s="45">
        <v>23.75</v>
      </c>
      <c r="D317" s="45">
        <v>80</v>
      </c>
      <c r="E317" s="45" t="s">
        <v>340</v>
      </c>
      <c r="F317" s="4">
        <f>F316/F315</f>
        <v>24.21</v>
      </c>
    </row>
    <row r="318" spans="1:7" x14ac:dyDescent="0.3">
      <c r="A318" s="45" t="s">
        <v>341</v>
      </c>
      <c r="B318" s="45" t="s">
        <v>333</v>
      </c>
      <c r="C318" s="45">
        <v>24.1</v>
      </c>
      <c r="D318" s="45">
        <v>150</v>
      </c>
      <c r="E318" s="45"/>
      <c r="F318" s="45"/>
      <c r="G318" s="45"/>
    </row>
    <row r="319" spans="1:7" x14ac:dyDescent="0.3">
      <c r="A319" s="45" t="s">
        <v>342</v>
      </c>
      <c r="B319" s="45" t="s">
        <v>336</v>
      </c>
      <c r="C319" s="45">
        <v>23.9</v>
      </c>
      <c r="D319" s="45">
        <v>60</v>
      </c>
      <c r="E319" s="45"/>
      <c r="F319" s="45"/>
      <c r="G319" s="45"/>
    </row>
    <row r="320" spans="1:7" x14ac:dyDescent="0.3">
      <c r="A320" s="45" t="s">
        <v>343</v>
      </c>
      <c r="B320" s="45" t="s">
        <v>339</v>
      </c>
      <c r="C320" s="45">
        <v>24.8</v>
      </c>
      <c r="D320" s="45">
        <v>40</v>
      </c>
      <c r="E320" s="45"/>
      <c r="F320" s="45"/>
      <c r="G320" s="45"/>
    </row>
    <row r="321" spans="1:7" x14ac:dyDescent="0.3">
      <c r="A321" s="45" t="s">
        <v>344</v>
      </c>
      <c r="B321" s="45" t="s">
        <v>333</v>
      </c>
      <c r="C321" s="45">
        <v>23.6</v>
      </c>
      <c r="D321" s="45">
        <v>90</v>
      </c>
      <c r="E321" s="45"/>
      <c r="F321" s="45"/>
      <c r="G321" s="45"/>
    </row>
    <row r="322" spans="1:7" x14ac:dyDescent="0.3">
      <c r="A322" s="45" t="s">
        <v>345</v>
      </c>
      <c r="B322" s="45" t="s">
        <v>336</v>
      </c>
      <c r="C322" s="45">
        <v>24.3</v>
      </c>
      <c r="D322" s="45">
        <v>60</v>
      </c>
      <c r="E322" s="45"/>
      <c r="F322" s="45"/>
      <c r="G322" s="45"/>
    </row>
    <row r="324" spans="1:7" x14ac:dyDescent="0.3">
      <c r="A324" s="28" t="s">
        <v>352</v>
      </c>
    </row>
    <row r="325" spans="1:7" x14ac:dyDescent="0.3">
      <c r="A325" s="15" t="s">
        <v>353</v>
      </c>
    </row>
    <row r="326" spans="1:7" x14ac:dyDescent="0.3">
      <c r="A326" s="30" t="s">
        <v>365</v>
      </c>
    </row>
    <row r="327" spans="1:7" x14ac:dyDescent="0.3">
      <c r="A327" s="30" t="s">
        <v>366</v>
      </c>
    </row>
    <row r="328" spans="1:7" x14ac:dyDescent="0.3">
      <c r="A328" s="30" t="s">
        <v>367</v>
      </c>
    </row>
    <row r="329" spans="1:7" x14ac:dyDescent="0.3">
      <c r="A329" s="30" t="s">
        <v>368</v>
      </c>
    </row>
    <row r="330" spans="1:7" x14ac:dyDescent="0.3">
      <c r="A330" s="30" t="s">
        <v>369</v>
      </c>
    </row>
    <row r="331" spans="1:7" x14ac:dyDescent="0.3">
      <c r="A331" s="30" t="s">
        <v>370</v>
      </c>
    </row>
    <row r="333" spans="1:7" x14ac:dyDescent="0.3">
      <c r="A333" s="45" t="s">
        <v>354</v>
      </c>
      <c r="B333" s="45"/>
    </row>
    <row r="334" spans="1:7" x14ac:dyDescent="0.3">
      <c r="A334" s="6" t="s">
        <v>235</v>
      </c>
      <c r="B334" s="6" t="s">
        <v>87</v>
      </c>
    </row>
    <row r="335" spans="1:7" x14ac:dyDescent="0.3">
      <c r="A335" s="45">
        <v>1040</v>
      </c>
      <c r="B335" s="45" t="s">
        <v>92</v>
      </c>
    </row>
    <row r="336" spans="1:7" x14ac:dyDescent="0.3">
      <c r="A336" s="45">
        <v>1042</v>
      </c>
      <c r="B336" s="45" t="s">
        <v>116</v>
      </c>
    </row>
    <row r="337" spans="1:3" x14ac:dyDescent="0.3">
      <c r="A337" s="45">
        <v>1051</v>
      </c>
      <c r="B337" s="45" t="s">
        <v>355</v>
      </c>
    </row>
    <row r="338" spans="1:3" x14ac:dyDescent="0.3">
      <c r="A338" s="45">
        <v>1063</v>
      </c>
      <c r="B338" s="45" t="s">
        <v>90</v>
      </c>
    </row>
    <row r="339" spans="1:3" x14ac:dyDescent="0.3">
      <c r="A339" s="45">
        <v>1038</v>
      </c>
      <c r="B339" s="45" t="s">
        <v>356</v>
      </c>
    </row>
    <row r="340" spans="1:3" x14ac:dyDescent="0.3">
      <c r="A340" s="45"/>
      <c r="B340" s="45"/>
    </row>
    <row r="341" spans="1:3" x14ac:dyDescent="0.3">
      <c r="A341" s="45" t="s">
        <v>357</v>
      </c>
      <c r="B341" s="45"/>
    </row>
    <row r="342" spans="1:3" x14ac:dyDescent="0.3">
      <c r="A342" s="6" t="s">
        <v>235</v>
      </c>
      <c r="B342" s="6" t="s">
        <v>358</v>
      </c>
    </row>
    <row r="343" spans="1:3" x14ac:dyDescent="0.3">
      <c r="A343" s="45">
        <v>1042</v>
      </c>
      <c r="B343" s="4" t="str">
        <f>VLOOKUP(A343,$A$335:$B$339,2,0)</f>
        <v>HR</v>
      </c>
      <c r="C343" s="1" t="str">
        <f ca="1">_xlfn.FORMULATEXT(B343)</f>
        <v>=VLOOKUP(A343,$A$335:$B$339,2,0)</v>
      </c>
    </row>
    <row r="344" spans="1:3" x14ac:dyDescent="0.3">
      <c r="A344" s="45">
        <v>1038</v>
      </c>
      <c r="B344" s="4" t="str">
        <f t="shared" ref="B344:B346" si="16">VLOOKUP(A344,$A$335:$B$339,2,0)</f>
        <v>Payroll</v>
      </c>
    </row>
    <row r="345" spans="1:3" x14ac:dyDescent="0.3">
      <c r="A345" s="45">
        <v>1051</v>
      </c>
      <c r="B345" s="4" t="str">
        <f t="shared" si="16"/>
        <v>IT</v>
      </c>
    </row>
    <row r="346" spans="1:3" x14ac:dyDescent="0.3">
      <c r="A346" s="45">
        <v>1040</v>
      </c>
      <c r="B346" s="4" t="str">
        <f t="shared" si="16"/>
        <v>Finance</v>
      </c>
    </row>
    <row r="347" spans="1:3" x14ac:dyDescent="0.3">
      <c r="A347" s="45"/>
    </row>
    <row r="348" spans="1:3" x14ac:dyDescent="0.3">
      <c r="A348" s="28" t="s">
        <v>360</v>
      </c>
    </row>
    <row r="349" spans="1:3" x14ac:dyDescent="0.3">
      <c r="A349" s="15" t="s">
        <v>359</v>
      </c>
    </row>
    <row r="350" spans="1:3" x14ac:dyDescent="0.3">
      <c r="A350" s="30" t="s">
        <v>371</v>
      </c>
    </row>
    <row r="351" spans="1:3" x14ac:dyDescent="0.3">
      <c r="A351" s="30" t="s">
        <v>372</v>
      </c>
    </row>
    <row r="352" spans="1:3" x14ac:dyDescent="0.3">
      <c r="A352" s="30" t="s">
        <v>361</v>
      </c>
    </row>
    <row r="353" spans="1:5" x14ac:dyDescent="0.3">
      <c r="A353" s="30" t="s">
        <v>373</v>
      </c>
    </row>
    <row r="355" spans="1:5" x14ac:dyDescent="0.3">
      <c r="A355" s="6" t="s">
        <v>362</v>
      </c>
      <c r="B355" s="6" t="s">
        <v>314</v>
      </c>
      <c r="C355" s="6" t="s">
        <v>315</v>
      </c>
      <c r="D355" s="6" t="s">
        <v>316</v>
      </c>
      <c r="E355" s="6" t="s">
        <v>317</v>
      </c>
    </row>
    <row r="356" spans="1:5" x14ac:dyDescent="0.3">
      <c r="A356" s="45" t="s">
        <v>363</v>
      </c>
      <c r="B356" s="45">
        <v>85000</v>
      </c>
      <c r="C356" s="45">
        <v>95000</v>
      </c>
      <c r="D356" s="45">
        <v>110000</v>
      </c>
      <c r="E356" s="45">
        <v>120000</v>
      </c>
    </row>
    <row r="357" spans="1:5" x14ac:dyDescent="0.3">
      <c r="C357" s="45"/>
      <c r="D357" s="45"/>
      <c r="E357" s="45"/>
    </row>
    <row r="358" spans="1:5" x14ac:dyDescent="0.3">
      <c r="A358" s="1" t="s">
        <v>310</v>
      </c>
      <c r="B358" s="1" t="s">
        <v>316</v>
      </c>
      <c r="C358" s="4">
        <f>HLOOKUP(B358,A355:E356,2,0)</f>
        <v>110000</v>
      </c>
      <c r="D358" s="45"/>
      <c r="E358" s="45"/>
    </row>
    <row r="359" spans="1:5" ht="26.4" customHeight="1" x14ac:dyDescent="0.3">
      <c r="A359" s="1" t="s">
        <v>364</v>
      </c>
      <c r="C359" s="49" t="str">
        <f ca="1">_xlfn.FORMULATEXT(C358)</f>
        <v>=HLOOKUP(B358,A355:E356,2,0)</v>
      </c>
      <c r="D359" s="45"/>
      <c r="E359" s="45"/>
    </row>
    <row r="360" spans="1:5" x14ac:dyDescent="0.3">
      <c r="C360" s="49"/>
    </row>
    <row r="362" spans="1:5" x14ac:dyDescent="0.3">
      <c r="A362" s="28" t="s">
        <v>374</v>
      </c>
    </row>
    <row r="363" spans="1:5" x14ac:dyDescent="0.3">
      <c r="A363" s="1" t="s">
        <v>375</v>
      </c>
    </row>
    <row r="364" spans="1:5" x14ac:dyDescent="0.3">
      <c r="A364" s="30" t="s">
        <v>396</v>
      </c>
    </row>
    <row r="365" spans="1:5" x14ac:dyDescent="0.3">
      <c r="A365" s="30" t="s">
        <v>397</v>
      </c>
    </row>
    <row r="367" spans="1:5" x14ac:dyDescent="0.3">
      <c r="A367" s="45" t="s">
        <v>398</v>
      </c>
    </row>
    <row r="368" spans="1:5" x14ac:dyDescent="0.3">
      <c r="A368" s="15"/>
    </row>
    <row r="369" spans="1:8" x14ac:dyDescent="0.3">
      <c r="A369" s="45" t="s">
        <v>376</v>
      </c>
    </row>
    <row r="370" spans="1:8" x14ac:dyDescent="0.3">
      <c r="A370" s="30"/>
    </row>
    <row r="371" spans="1:8" x14ac:dyDescent="0.3">
      <c r="A371" s="30" t="s">
        <v>399</v>
      </c>
    </row>
    <row r="372" spans="1:8" x14ac:dyDescent="0.3">
      <c r="A372" s="30" t="s">
        <v>377</v>
      </c>
    </row>
    <row r="373" spans="1:8" x14ac:dyDescent="0.3">
      <c r="A373" s="30" t="s">
        <v>400</v>
      </c>
    </row>
    <row r="375" spans="1:8" x14ac:dyDescent="0.3">
      <c r="A375" s="45" t="s">
        <v>378</v>
      </c>
      <c r="B375" s="45"/>
      <c r="C375" s="45"/>
      <c r="D375" s="45"/>
      <c r="E375" s="45"/>
      <c r="F375" s="45"/>
      <c r="G375" s="45"/>
      <c r="H375" s="45"/>
    </row>
    <row r="376" spans="1:8" x14ac:dyDescent="0.3">
      <c r="A376" s="32" t="s">
        <v>379</v>
      </c>
      <c r="B376" s="45"/>
      <c r="C376" s="45"/>
      <c r="D376" s="45"/>
      <c r="E376" s="45"/>
      <c r="F376" s="45"/>
      <c r="G376" s="45"/>
      <c r="H376" s="45"/>
    </row>
    <row r="377" spans="1:8" x14ac:dyDescent="0.3">
      <c r="A377" s="33" t="s">
        <v>380</v>
      </c>
      <c r="B377" s="45"/>
      <c r="C377" s="45"/>
      <c r="E377" s="45"/>
      <c r="F377" s="45"/>
      <c r="G377" s="33" t="s">
        <v>381</v>
      </c>
      <c r="H377" s="45"/>
    </row>
    <row r="378" spans="1:8" x14ac:dyDescent="0.3">
      <c r="A378" s="6" t="s">
        <v>382</v>
      </c>
      <c r="B378" s="6" t="s">
        <v>383</v>
      </c>
      <c r="C378" s="6" t="s">
        <v>384</v>
      </c>
      <c r="D378" s="6" t="s">
        <v>385</v>
      </c>
      <c r="E378" s="6" t="s">
        <v>386</v>
      </c>
      <c r="F378" s="45"/>
      <c r="G378" s="6" t="s">
        <v>387</v>
      </c>
      <c r="H378" s="6" t="s">
        <v>385</v>
      </c>
    </row>
    <row r="379" spans="1:8" x14ac:dyDescent="0.3">
      <c r="A379" s="45" t="s">
        <v>388</v>
      </c>
      <c r="B379" s="45" t="s">
        <v>389</v>
      </c>
      <c r="C379" s="45">
        <v>0.8</v>
      </c>
      <c r="D379" s="4">
        <f>VLOOKUP(C379,G379:H383,2,1)</f>
        <v>6.5</v>
      </c>
      <c r="E379" s="45">
        <v>5.2</v>
      </c>
      <c r="F379" s="45"/>
      <c r="G379" s="45">
        <v>0</v>
      </c>
      <c r="H379" s="45">
        <v>6.5</v>
      </c>
    </row>
    <row r="380" spans="1:8" x14ac:dyDescent="0.3">
      <c r="A380" s="45" t="s">
        <v>390</v>
      </c>
      <c r="B380" s="45" t="s">
        <v>389</v>
      </c>
      <c r="C380" s="45">
        <v>2.4</v>
      </c>
      <c r="D380" s="4">
        <f t="shared" ref="D380:D383" si="17">VLOOKUP(C380,G380:H384,2,1)</f>
        <v>5.75</v>
      </c>
      <c r="E380" s="45">
        <v>13.8</v>
      </c>
      <c r="F380" s="45"/>
      <c r="G380" s="45">
        <v>1</v>
      </c>
      <c r="H380" s="45">
        <v>5.75</v>
      </c>
    </row>
    <row r="381" spans="1:8" x14ac:dyDescent="0.3">
      <c r="A381" s="45" t="s">
        <v>391</v>
      </c>
      <c r="B381" s="45" t="s">
        <v>392</v>
      </c>
      <c r="C381" s="45">
        <v>6.2</v>
      </c>
      <c r="D381" s="4">
        <f>VLOOKUP(C381,G381:H385,2,1)</f>
        <v>5</v>
      </c>
      <c r="E381" s="45">
        <v>31</v>
      </c>
      <c r="F381" s="45"/>
      <c r="G381" s="45">
        <v>5</v>
      </c>
      <c r="H381" s="45">
        <v>5</v>
      </c>
    </row>
    <row r="382" spans="1:8" x14ac:dyDescent="0.3">
      <c r="A382" s="45" t="s">
        <v>393</v>
      </c>
      <c r="B382" s="45" t="s">
        <v>394</v>
      </c>
      <c r="C382" s="45">
        <v>12</v>
      </c>
      <c r="D382" s="4">
        <f t="shared" si="17"/>
        <v>4.25</v>
      </c>
      <c r="E382" s="45">
        <v>51</v>
      </c>
      <c r="F382" s="45"/>
      <c r="G382" s="45">
        <v>10</v>
      </c>
      <c r="H382" s="45">
        <v>4.25</v>
      </c>
    </row>
    <row r="383" spans="1:8" x14ac:dyDescent="0.3">
      <c r="A383" s="45" t="s">
        <v>395</v>
      </c>
      <c r="B383" s="45" t="s">
        <v>389</v>
      </c>
      <c r="C383" s="45">
        <v>24.5</v>
      </c>
      <c r="D383" s="4">
        <f t="shared" si="17"/>
        <v>3.75</v>
      </c>
      <c r="E383" s="45">
        <v>91.875</v>
      </c>
      <c r="F383" s="45"/>
      <c r="G383" s="45">
        <v>20</v>
      </c>
      <c r="H383" s="45">
        <v>3.75</v>
      </c>
    </row>
    <row r="385" spans="1:4" x14ac:dyDescent="0.3">
      <c r="D385" s="1" t="str">
        <f ca="1">_xlfn.FORMULATEXT(D379)</f>
        <v>=VLOOKUP(C379,G379:H383,2,1)</v>
      </c>
    </row>
    <row r="387" spans="1:4" x14ac:dyDescent="0.3">
      <c r="A387" s="28" t="s">
        <v>401</v>
      </c>
    </row>
    <row r="388" spans="1:4" x14ac:dyDescent="0.3">
      <c r="A388" s="1" t="s">
        <v>353</v>
      </c>
    </row>
    <row r="389" spans="1:4" x14ac:dyDescent="0.3">
      <c r="A389" s="30" t="s">
        <v>431</v>
      </c>
    </row>
    <row r="390" spans="1:4" x14ac:dyDescent="0.3">
      <c r="A390" s="30" t="s">
        <v>432</v>
      </c>
    </row>
    <row r="391" spans="1:4" x14ac:dyDescent="0.3">
      <c r="A391" s="30" t="s">
        <v>433</v>
      </c>
    </row>
    <row r="392" spans="1:4" x14ac:dyDescent="0.3">
      <c r="A392" s="30" t="s">
        <v>434</v>
      </c>
    </row>
    <row r="394" spans="1:4" x14ac:dyDescent="0.3">
      <c r="A394" s="45" t="s">
        <v>435</v>
      </c>
    </row>
    <row r="395" spans="1:4" x14ac:dyDescent="0.3">
      <c r="A395" s="30"/>
    </row>
    <row r="396" spans="1:4" x14ac:dyDescent="0.3">
      <c r="A396" s="30" t="s">
        <v>436</v>
      </c>
    </row>
    <row r="397" spans="1:4" x14ac:dyDescent="0.3">
      <c r="A397" s="30" t="s">
        <v>437</v>
      </c>
    </row>
    <row r="398" spans="1:4" x14ac:dyDescent="0.3">
      <c r="A398" s="30" t="s">
        <v>402</v>
      </c>
    </row>
    <row r="399" spans="1:4" x14ac:dyDescent="0.3">
      <c r="A399" s="30" t="s">
        <v>438</v>
      </c>
    </row>
    <row r="401" spans="1:4" x14ac:dyDescent="0.3">
      <c r="A401" s="9" t="s">
        <v>403</v>
      </c>
      <c r="B401" s="9" t="s">
        <v>404</v>
      </c>
      <c r="C401" s="9" t="s">
        <v>405</v>
      </c>
      <c r="D401" s="9" t="s">
        <v>406</v>
      </c>
    </row>
    <row r="402" spans="1:4" x14ac:dyDescent="0.3">
      <c r="A402" s="45" t="s">
        <v>407</v>
      </c>
      <c r="B402" s="45" t="s">
        <v>408</v>
      </c>
      <c r="C402" s="45" t="s">
        <v>409</v>
      </c>
      <c r="D402" s="45" t="s">
        <v>410</v>
      </c>
    </row>
    <row r="403" spans="1:4" x14ac:dyDescent="0.3">
      <c r="A403" s="45" t="s">
        <v>411</v>
      </c>
      <c r="B403" s="45" t="s">
        <v>412</v>
      </c>
      <c r="C403" s="45" t="s">
        <v>413</v>
      </c>
      <c r="D403" s="45" t="s">
        <v>414</v>
      </c>
    </row>
    <row r="404" spans="1:4" x14ac:dyDescent="0.3">
      <c r="A404" s="45" t="s">
        <v>415</v>
      </c>
      <c r="B404" s="45" t="s">
        <v>416</v>
      </c>
      <c r="C404" s="45" t="s">
        <v>417</v>
      </c>
      <c r="D404" s="45" t="s">
        <v>418</v>
      </c>
    </row>
    <row r="405" spans="1:4" x14ac:dyDescent="0.3">
      <c r="A405" s="45" t="s">
        <v>419</v>
      </c>
      <c r="B405" s="45" t="s">
        <v>420</v>
      </c>
      <c r="C405" s="45" t="s">
        <v>421</v>
      </c>
      <c r="D405" s="45" t="s">
        <v>422</v>
      </c>
    </row>
    <row r="406" spans="1:4" x14ac:dyDescent="0.3">
      <c r="A406" s="45" t="s">
        <v>423</v>
      </c>
      <c r="B406" s="45" t="s">
        <v>424</v>
      </c>
      <c r="C406" s="45" t="s">
        <v>425</v>
      </c>
      <c r="D406" s="45" t="s">
        <v>426</v>
      </c>
    </row>
    <row r="407" spans="1:4" x14ac:dyDescent="0.3">
      <c r="A407" s="45" t="s">
        <v>427</v>
      </c>
      <c r="B407" s="45" t="s">
        <v>428</v>
      </c>
      <c r="C407" s="45" t="s">
        <v>429</v>
      </c>
      <c r="D407" s="45" t="s">
        <v>430</v>
      </c>
    </row>
    <row r="408" spans="1:4" x14ac:dyDescent="0.3">
      <c r="A408" s="45"/>
      <c r="B408" s="45"/>
      <c r="C408" s="45"/>
      <c r="D408" s="45"/>
    </row>
    <row r="409" spans="1:4" x14ac:dyDescent="0.3">
      <c r="A409" s="45" t="s">
        <v>403</v>
      </c>
      <c r="B409" s="45" t="s">
        <v>419</v>
      </c>
      <c r="C409" s="45"/>
      <c r="D409" s="45"/>
    </row>
    <row r="410" spans="1:4" x14ac:dyDescent="0.3">
      <c r="A410" s="45" t="s">
        <v>405</v>
      </c>
      <c r="B410" s="4" t="str">
        <f>VLOOKUP(B409,A402:C407,3,0)</f>
        <v>Denver</v>
      </c>
      <c r="C410" s="45"/>
      <c r="D410" s="45"/>
    </row>
    <row r="411" spans="1:4" x14ac:dyDescent="0.3">
      <c r="B411" s="1" t="str">
        <f ca="1">_xlfn.FORMULATEXT(B410)</f>
        <v>=VLOOKUP(B409,A402:C407,3,0)</v>
      </c>
    </row>
    <row r="413" spans="1:4" x14ac:dyDescent="0.3">
      <c r="A413" s="28" t="s">
        <v>439</v>
      </c>
    </row>
    <row r="414" spans="1:4" ht="69" x14ac:dyDescent="0.3">
      <c r="A414" s="2" t="s">
        <v>440</v>
      </c>
    </row>
    <row r="416" spans="1:4" ht="69" x14ac:dyDescent="0.3">
      <c r="A416" s="2" t="s">
        <v>440</v>
      </c>
    </row>
    <row r="418" spans="1:7" x14ac:dyDescent="0.3">
      <c r="A418" s="6" t="s">
        <v>202</v>
      </c>
      <c r="B418" s="6" t="s">
        <v>46</v>
      </c>
      <c r="C418" s="6" t="s">
        <v>47</v>
      </c>
      <c r="D418" s="6" t="s">
        <v>441</v>
      </c>
    </row>
    <row r="419" spans="1:7" x14ac:dyDescent="0.3">
      <c r="A419" s="45" t="s">
        <v>442</v>
      </c>
      <c r="B419" s="45" t="s">
        <v>443</v>
      </c>
      <c r="C419" s="45" t="s">
        <v>444</v>
      </c>
      <c r="D419" s="45">
        <v>12</v>
      </c>
    </row>
    <row r="420" spans="1:7" x14ac:dyDescent="0.3">
      <c r="A420" s="45" t="s">
        <v>445</v>
      </c>
      <c r="B420" s="45" t="s">
        <v>446</v>
      </c>
      <c r="C420" s="45" t="s">
        <v>447</v>
      </c>
      <c r="D420" s="45">
        <v>18</v>
      </c>
    </row>
    <row r="421" spans="1:7" x14ac:dyDescent="0.3">
      <c r="A421" s="45" t="s">
        <v>448</v>
      </c>
      <c r="B421" s="45" t="s">
        <v>449</v>
      </c>
      <c r="C421" s="45" t="s">
        <v>106</v>
      </c>
      <c r="D421" s="45">
        <v>24</v>
      </c>
    </row>
    <row r="422" spans="1:7" x14ac:dyDescent="0.3">
      <c r="A422" s="45" t="s">
        <v>450</v>
      </c>
      <c r="B422" s="45" t="s">
        <v>60</v>
      </c>
      <c r="C422" s="45" t="s">
        <v>447</v>
      </c>
      <c r="D422" s="45">
        <v>35</v>
      </c>
    </row>
    <row r="424" spans="1:7" x14ac:dyDescent="0.3">
      <c r="B424" s="1" t="s">
        <v>451</v>
      </c>
      <c r="C424" s="1" t="s">
        <v>446</v>
      </c>
    </row>
    <row r="425" spans="1:7" x14ac:dyDescent="0.3">
      <c r="B425" s="1" t="s">
        <v>452</v>
      </c>
      <c r="C425" s="1" t="str">
        <f>_xlfn.XLOOKUP(C424,B419:B422,A419:A422,"Not Found")</f>
        <v>SK-200</v>
      </c>
    </row>
    <row r="427" spans="1:7" x14ac:dyDescent="0.3">
      <c r="C427" s="1" t="str">
        <f ca="1">_xlfn.FORMULATEXT(C425)</f>
        <v>=XLOOKUP(C424,B419:B422,A419:A422,"Not Found")</v>
      </c>
    </row>
    <row r="429" spans="1:7" x14ac:dyDescent="0.3">
      <c r="A429" s="28" t="s">
        <v>453</v>
      </c>
    </row>
    <row r="430" spans="1:7" ht="69" x14ac:dyDescent="0.3">
      <c r="A430" s="35" t="s">
        <v>477</v>
      </c>
    </row>
    <row r="431" spans="1:7" ht="82.8" x14ac:dyDescent="0.3">
      <c r="A431" s="35" t="s">
        <v>476</v>
      </c>
    </row>
    <row r="432" spans="1:7" x14ac:dyDescent="0.3">
      <c r="A432" s="6" t="s">
        <v>202</v>
      </c>
      <c r="B432" s="6" t="s">
        <v>46</v>
      </c>
      <c r="C432" s="6" t="s">
        <v>47</v>
      </c>
      <c r="D432" s="6" t="s">
        <v>454</v>
      </c>
      <c r="E432" s="45"/>
      <c r="F432" s="6" t="s">
        <v>455</v>
      </c>
      <c r="G432" s="6" t="s">
        <v>46</v>
      </c>
    </row>
    <row r="433" spans="1:7" x14ac:dyDescent="0.3">
      <c r="A433" s="45" t="s">
        <v>456</v>
      </c>
      <c r="B433" s="45" t="s">
        <v>457</v>
      </c>
      <c r="C433" s="45" t="s">
        <v>458</v>
      </c>
      <c r="D433" s="45">
        <v>6.25</v>
      </c>
      <c r="E433" s="45"/>
      <c r="F433" s="34" t="s">
        <v>456</v>
      </c>
      <c r="G433" s="4" t="str">
        <f t="shared" ref="G433:G439" si="18">_xlfn.XLOOKUP(F433,$A$433:$A$439,$B$433:$B$439,"Discontinued")</f>
        <v>Box Cutter</v>
      </c>
    </row>
    <row r="434" spans="1:7" x14ac:dyDescent="0.3">
      <c r="A434" s="45" t="s">
        <v>459</v>
      </c>
      <c r="B434" s="45" t="s">
        <v>460</v>
      </c>
      <c r="C434" s="45" t="s">
        <v>461</v>
      </c>
      <c r="D434" s="45">
        <v>3.4</v>
      </c>
      <c r="E434" s="45"/>
      <c r="F434" s="34" t="s">
        <v>462</v>
      </c>
      <c r="G434" s="4" t="str">
        <f t="shared" si="18"/>
        <v>Discontinued</v>
      </c>
    </row>
    <row r="435" spans="1:7" x14ac:dyDescent="0.3">
      <c r="A435" s="45" t="s">
        <v>463</v>
      </c>
      <c r="B435" s="45" t="s">
        <v>464</v>
      </c>
      <c r="C435" s="45" t="s">
        <v>461</v>
      </c>
      <c r="D435" s="45">
        <v>19.989999999999998</v>
      </c>
      <c r="E435" s="45"/>
      <c r="F435" s="34" t="s">
        <v>463</v>
      </c>
      <c r="G435" s="4" t="str">
        <f t="shared" si="18"/>
        <v>Bubble Wrap Roll</v>
      </c>
    </row>
    <row r="436" spans="1:7" x14ac:dyDescent="0.3">
      <c r="A436" s="45" t="s">
        <v>465</v>
      </c>
      <c r="B436" s="45" t="s">
        <v>466</v>
      </c>
      <c r="C436" s="45" t="s">
        <v>461</v>
      </c>
      <c r="D436" s="45">
        <v>14.5</v>
      </c>
      <c r="E436" s="45"/>
      <c r="F436" s="34" t="s">
        <v>467</v>
      </c>
      <c r="G436" s="4" t="str">
        <f t="shared" si="18"/>
        <v>Discontinued</v>
      </c>
    </row>
    <row r="437" spans="1:7" x14ac:dyDescent="0.3">
      <c r="A437" s="45" t="s">
        <v>468</v>
      </c>
      <c r="B437" s="45" t="s">
        <v>469</v>
      </c>
      <c r="C437" s="45" t="s">
        <v>470</v>
      </c>
      <c r="D437" s="45">
        <v>8.75</v>
      </c>
      <c r="E437" s="45"/>
      <c r="F437" s="34" t="s">
        <v>468</v>
      </c>
      <c r="G437" s="4" t="str">
        <f t="shared" si="18"/>
        <v>Safety Gloves (L)</v>
      </c>
    </row>
    <row r="438" spans="1:7" x14ac:dyDescent="0.3">
      <c r="A438" s="45" t="s">
        <v>471</v>
      </c>
      <c r="B438" s="45" t="s">
        <v>472</v>
      </c>
      <c r="C438" s="45" t="s">
        <v>447</v>
      </c>
      <c r="D438" s="45">
        <v>27.5</v>
      </c>
      <c r="E438" s="45"/>
      <c r="F438" s="34" t="s">
        <v>473</v>
      </c>
      <c r="G438" s="4" t="str">
        <f t="shared" si="18"/>
        <v>Discontinued</v>
      </c>
    </row>
    <row r="439" spans="1:7" x14ac:dyDescent="0.3">
      <c r="A439" s="45" t="s">
        <v>474</v>
      </c>
      <c r="B439" s="45" t="s">
        <v>475</v>
      </c>
      <c r="C439" s="45" t="s">
        <v>470</v>
      </c>
      <c r="D439" s="45">
        <v>12</v>
      </c>
      <c r="E439" s="45"/>
      <c r="F439" s="34" t="s">
        <v>474</v>
      </c>
      <c r="G439" s="4" t="str">
        <f t="shared" si="18"/>
        <v>Warehouse Marking Tape</v>
      </c>
    </row>
    <row r="441" spans="1:7" x14ac:dyDescent="0.3">
      <c r="A441" s="28" t="s">
        <v>478</v>
      </c>
      <c r="G441" s="1" t="str">
        <f ca="1">_xlfn.FORMULATEXT(G433)</f>
        <v>=XLOOKUP(F433,$A$433:$A$439,$B$433:$B$439,"Discontinued")</v>
      </c>
    </row>
    <row r="442" spans="1:7" x14ac:dyDescent="0.3">
      <c r="A442" s="45" t="s">
        <v>479</v>
      </c>
    </row>
    <row r="443" spans="1:7" x14ac:dyDescent="0.3">
      <c r="A443" s="15"/>
    </row>
    <row r="444" spans="1:7" ht="27.6" x14ac:dyDescent="0.3">
      <c r="A444" s="45" t="s">
        <v>505</v>
      </c>
    </row>
    <row r="445" spans="1:7" x14ac:dyDescent="0.3">
      <c r="A445" s="15"/>
    </row>
    <row r="446" spans="1:7" x14ac:dyDescent="0.3">
      <c r="A446" s="45" t="s">
        <v>480</v>
      </c>
    </row>
    <row r="447" spans="1:7" x14ac:dyDescent="0.3">
      <c r="A447" s="15"/>
    </row>
    <row r="448" spans="1:7" x14ac:dyDescent="0.3">
      <c r="A448" s="45" t="s">
        <v>481</v>
      </c>
    </row>
    <row r="450" spans="1:4" x14ac:dyDescent="0.3">
      <c r="A450" s="9" t="s">
        <v>255</v>
      </c>
      <c r="B450" s="9" t="s">
        <v>256</v>
      </c>
      <c r="C450" s="9" t="s">
        <v>47</v>
      </c>
      <c r="D450" s="9" t="s">
        <v>482</v>
      </c>
    </row>
    <row r="451" spans="1:4" x14ac:dyDescent="0.3">
      <c r="A451" s="45" t="s">
        <v>483</v>
      </c>
      <c r="B451" s="45" t="s">
        <v>484</v>
      </c>
      <c r="C451" s="45" t="s">
        <v>461</v>
      </c>
      <c r="D451" s="45">
        <v>22.4</v>
      </c>
    </row>
    <row r="452" spans="1:4" x14ac:dyDescent="0.3">
      <c r="A452" s="45" t="s">
        <v>485</v>
      </c>
      <c r="B452" s="45" t="s">
        <v>486</v>
      </c>
      <c r="C452" s="45" t="s">
        <v>487</v>
      </c>
      <c r="D452" s="45">
        <v>18.5</v>
      </c>
    </row>
    <row r="453" spans="1:4" x14ac:dyDescent="0.3">
      <c r="A453" s="45" t="s">
        <v>488</v>
      </c>
      <c r="B453" s="45" t="s">
        <v>489</v>
      </c>
      <c r="C453" s="45" t="s">
        <v>490</v>
      </c>
      <c r="D453" s="45">
        <v>7.2</v>
      </c>
    </row>
    <row r="454" spans="1:4" x14ac:dyDescent="0.3">
      <c r="A454" s="45" t="s">
        <v>491</v>
      </c>
      <c r="B454" s="45" t="s">
        <v>492</v>
      </c>
      <c r="C454" s="45" t="s">
        <v>487</v>
      </c>
      <c r="D454" s="45">
        <v>9.75</v>
      </c>
    </row>
    <row r="455" spans="1:4" x14ac:dyDescent="0.3">
      <c r="A455" s="45" t="s">
        <v>493</v>
      </c>
      <c r="B455" s="45" t="s">
        <v>494</v>
      </c>
      <c r="C455" s="45" t="s">
        <v>470</v>
      </c>
      <c r="D455" s="45">
        <v>31</v>
      </c>
    </row>
    <row r="456" spans="1:4" x14ac:dyDescent="0.3">
      <c r="A456" s="45" t="s">
        <v>495</v>
      </c>
      <c r="B456" s="45" t="s">
        <v>496</v>
      </c>
      <c r="C456" s="45" t="s">
        <v>487</v>
      </c>
      <c r="D456" s="45">
        <v>12.6</v>
      </c>
    </row>
    <row r="457" spans="1:4" x14ac:dyDescent="0.3">
      <c r="A457" s="45" t="s">
        <v>497</v>
      </c>
      <c r="B457" s="45" t="s">
        <v>498</v>
      </c>
      <c r="C457" s="45" t="s">
        <v>499</v>
      </c>
      <c r="D457" s="45">
        <v>14.25</v>
      </c>
    </row>
    <row r="458" spans="1:4" x14ac:dyDescent="0.3">
      <c r="A458" s="45" t="s">
        <v>500</v>
      </c>
      <c r="B458" s="45" t="s">
        <v>501</v>
      </c>
      <c r="C458" s="45" t="s">
        <v>487</v>
      </c>
      <c r="D458" s="45">
        <v>24.9</v>
      </c>
    </row>
    <row r="459" spans="1:4" x14ac:dyDescent="0.3">
      <c r="A459" s="45"/>
      <c r="B459" s="45"/>
      <c r="C459" s="45"/>
      <c r="D459" s="45"/>
    </row>
    <row r="460" spans="1:4" x14ac:dyDescent="0.3">
      <c r="A460" s="13" t="s">
        <v>502</v>
      </c>
      <c r="B460" s="36" t="s">
        <v>503</v>
      </c>
      <c r="C460" s="45"/>
      <c r="D460" s="45"/>
    </row>
    <row r="461" spans="1:4" x14ac:dyDescent="0.3">
      <c r="A461" s="13" t="s">
        <v>504</v>
      </c>
      <c r="B461" s="4" t="str">
        <f>_xlfn.XLOOKUP("*"&amp;B460&amp;"*",B451:B458,B451:B458,,2)</f>
        <v>Citrus Surface Cleaner</v>
      </c>
      <c r="C461" s="45"/>
      <c r="D461" s="45"/>
    </row>
    <row r="462" spans="1:4" x14ac:dyDescent="0.3">
      <c r="A462" s="13" t="s">
        <v>482</v>
      </c>
      <c r="B462" s="4">
        <f>_xlfn.XLOOKUP("*"&amp;B460&amp;"*",B451:B458,D451:D458,,2)</f>
        <v>12.6</v>
      </c>
      <c r="C462" s="45"/>
      <c r="D462" s="45"/>
    </row>
    <row r="464" spans="1:4" x14ac:dyDescent="0.3">
      <c r="B464" s="1" t="str">
        <f ca="1">_xlfn.FORMULATEXT(B461)</f>
        <v>=XLOOKUP("*"&amp;B460&amp;"*",B451:B458,B451:B458,,2)</v>
      </c>
    </row>
    <row r="465" spans="1:8" x14ac:dyDescent="0.3">
      <c r="A465" s="45"/>
      <c r="B465" s="45"/>
      <c r="C465" s="45"/>
      <c r="D465" s="45"/>
      <c r="E465" s="45"/>
      <c r="F465" s="45"/>
      <c r="G465" s="45"/>
      <c r="H465" s="45"/>
    </row>
    <row r="466" spans="1:8" x14ac:dyDescent="0.3">
      <c r="A466" s="28" t="s">
        <v>506</v>
      </c>
      <c r="B466" s="45"/>
      <c r="C466" s="45"/>
      <c r="D466" s="45"/>
      <c r="E466" s="45"/>
      <c r="F466" s="45"/>
      <c r="G466" s="45"/>
      <c r="H466" s="45"/>
    </row>
    <row r="467" spans="1:8" ht="41.4" x14ac:dyDescent="0.3">
      <c r="A467" s="45" t="s">
        <v>507</v>
      </c>
      <c r="B467" s="45"/>
      <c r="C467" s="45"/>
      <c r="D467" s="45"/>
      <c r="E467" s="45"/>
      <c r="F467" s="45"/>
      <c r="G467" s="45"/>
      <c r="H467" s="45"/>
    </row>
    <row r="468" spans="1:8" ht="55.2" x14ac:dyDescent="0.3">
      <c r="A468" s="45" t="s">
        <v>508</v>
      </c>
      <c r="B468" s="45"/>
      <c r="C468" s="45"/>
      <c r="D468" s="45"/>
      <c r="E468" s="45"/>
      <c r="F468" s="45"/>
      <c r="G468" s="45"/>
      <c r="H468" s="45"/>
    </row>
    <row r="469" spans="1:8" x14ac:dyDescent="0.3">
      <c r="A469" s="45"/>
      <c r="B469" s="45"/>
      <c r="C469" s="45"/>
      <c r="D469" s="45"/>
      <c r="E469" s="45"/>
      <c r="F469" s="45"/>
      <c r="G469" s="45"/>
      <c r="H469" s="45"/>
    </row>
    <row r="470" spans="1:8" x14ac:dyDescent="0.3">
      <c r="A470" s="9" t="s">
        <v>202</v>
      </c>
      <c r="B470" s="9" t="s">
        <v>46</v>
      </c>
      <c r="C470" s="9" t="s">
        <v>509</v>
      </c>
      <c r="D470" s="45"/>
      <c r="E470" s="45"/>
      <c r="F470" s="45"/>
      <c r="G470" s="45"/>
      <c r="H470" s="45"/>
    </row>
    <row r="471" spans="1:8" x14ac:dyDescent="0.3">
      <c r="A471" s="45" t="s">
        <v>510</v>
      </c>
      <c r="B471" s="45" t="s">
        <v>511</v>
      </c>
      <c r="C471" s="45">
        <v>120</v>
      </c>
      <c r="D471" s="45"/>
      <c r="E471" s="45"/>
      <c r="F471" s="45"/>
      <c r="G471" s="45"/>
      <c r="H471" s="45"/>
    </row>
    <row r="472" spans="1:8" x14ac:dyDescent="0.3">
      <c r="A472" s="45" t="s">
        <v>512</v>
      </c>
      <c r="B472" s="45" t="s">
        <v>513</v>
      </c>
      <c r="C472" s="45">
        <v>50</v>
      </c>
      <c r="D472" s="45"/>
      <c r="E472" s="45"/>
      <c r="F472" s="45"/>
      <c r="G472" s="45"/>
      <c r="H472" s="45"/>
    </row>
    <row r="473" spans="1:8" x14ac:dyDescent="0.3">
      <c r="A473" s="45" t="s">
        <v>514</v>
      </c>
      <c r="B473" s="45" t="s">
        <v>515</v>
      </c>
      <c r="C473" s="45">
        <v>0</v>
      </c>
      <c r="D473" s="45"/>
      <c r="E473" s="45"/>
      <c r="F473" s="45"/>
      <c r="G473" s="45"/>
      <c r="H473" s="45"/>
    </row>
    <row r="474" spans="1:8" x14ac:dyDescent="0.3">
      <c r="A474" s="45"/>
      <c r="B474" s="45"/>
      <c r="C474" s="45"/>
      <c r="D474" s="45"/>
      <c r="E474" s="45"/>
      <c r="F474" s="45"/>
      <c r="G474" s="45"/>
      <c r="H474" s="45"/>
    </row>
    <row r="475" spans="1:8" x14ac:dyDescent="0.3">
      <c r="A475" s="45" t="s">
        <v>516</v>
      </c>
      <c r="B475" s="37" t="s">
        <v>517</v>
      </c>
      <c r="C475" s="45"/>
      <c r="D475" s="45"/>
      <c r="E475" s="45"/>
      <c r="F475" s="45"/>
      <c r="G475" s="45"/>
      <c r="H475" s="45"/>
    </row>
    <row r="476" spans="1:8" x14ac:dyDescent="0.3">
      <c r="A476" s="38" t="s">
        <v>518</v>
      </c>
      <c r="B476" s="4" t="str">
        <f>_xlfn.IFNA(VLOOKUP(B475,A471:C473,2,0),"Not Found")</f>
        <v>Not Found</v>
      </c>
      <c r="C476" s="49" t="str">
        <f ca="1">_xlfn.FORMULATEXT(B476)</f>
        <v>=IFNA(VLOOKUP(B475,A471:C473,2,0),"Not Found")</v>
      </c>
      <c r="D476" s="49"/>
      <c r="E476" s="49"/>
      <c r="F476" s="45"/>
      <c r="G476" s="45"/>
      <c r="H476" s="45"/>
    </row>
    <row r="477" spans="1:8" x14ac:dyDescent="0.3">
      <c r="A477" s="38" t="s">
        <v>519</v>
      </c>
      <c r="B477" s="4" t="str">
        <f>_xlfn.XLOOKUP(B475,A471:A473,B471:B473,"Not Found")</f>
        <v>Not Found</v>
      </c>
      <c r="C477" s="49" t="str">
        <f ca="1">_xlfn.FORMULATEXT(B477)</f>
        <v>=XLOOKUP(B475,A471:A473,B471:B473,"Not Found")</v>
      </c>
      <c r="D477" s="49"/>
      <c r="E477" s="49"/>
      <c r="F477" s="45"/>
      <c r="G477" s="45"/>
      <c r="H477" s="45"/>
    </row>
    <row r="478" spans="1:8" x14ac:dyDescent="0.3">
      <c r="A478" s="45"/>
      <c r="B478" s="45"/>
      <c r="C478" s="45"/>
      <c r="D478" s="45"/>
      <c r="E478" s="45"/>
      <c r="F478" s="45"/>
      <c r="G478" s="45"/>
      <c r="H478" s="45"/>
    </row>
    <row r="479" spans="1:8" x14ac:dyDescent="0.3">
      <c r="A479" s="45"/>
      <c r="B479" s="45"/>
      <c r="C479" s="45"/>
      <c r="D479" s="45"/>
      <c r="E479" s="45"/>
      <c r="F479" s="45"/>
      <c r="G479" s="45"/>
      <c r="H479" s="45"/>
    </row>
    <row r="480" spans="1:8" x14ac:dyDescent="0.3">
      <c r="A480" s="28" t="s">
        <v>545</v>
      </c>
      <c r="B480" s="45"/>
      <c r="C480" s="45"/>
      <c r="D480" s="45"/>
      <c r="E480" s="45"/>
      <c r="F480" s="45"/>
      <c r="G480" s="45"/>
      <c r="H480" s="45"/>
    </row>
    <row r="481" spans="1:8" ht="124.2" x14ac:dyDescent="0.3">
      <c r="A481" s="45" t="s">
        <v>546</v>
      </c>
      <c r="B481" s="45"/>
      <c r="C481" s="45"/>
      <c r="D481" s="45"/>
      <c r="E481" s="45"/>
      <c r="F481" s="45"/>
      <c r="G481" s="45"/>
      <c r="H481" s="45"/>
    </row>
    <row r="482" spans="1:8" ht="55.2" x14ac:dyDescent="0.3">
      <c r="A482" s="45" t="s">
        <v>547</v>
      </c>
      <c r="B482" s="45"/>
      <c r="C482" s="45"/>
      <c r="D482" s="45"/>
      <c r="E482" s="45"/>
      <c r="F482" s="45"/>
      <c r="G482" s="45"/>
      <c r="H482" s="45"/>
    </row>
    <row r="483" spans="1:8" x14ac:dyDescent="0.3">
      <c r="A483" s="45"/>
      <c r="B483" s="45"/>
      <c r="C483" s="45"/>
      <c r="D483" s="45"/>
      <c r="E483" s="45"/>
      <c r="F483" s="45"/>
      <c r="G483" s="45"/>
      <c r="H483" s="45"/>
    </row>
    <row r="484" spans="1:8" x14ac:dyDescent="0.3">
      <c r="A484" s="9" t="s">
        <v>520</v>
      </c>
      <c r="B484" s="9" t="s">
        <v>113</v>
      </c>
      <c r="C484" s="9" t="s">
        <v>521</v>
      </c>
      <c r="D484" s="9" t="s">
        <v>522</v>
      </c>
      <c r="E484" s="45"/>
      <c r="F484" s="45"/>
      <c r="G484" s="45"/>
      <c r="H484" s="45"/>
    </row>
    <row r="485" spans="1:8" x14ac:dyDescent="0.3">
      <c r="A485" s="45" t="s">
        <v>523</v>
      </c>
      <c r="B485" s="45" t="s">
        <v>524</v>
      </c>
      <c r="C485" s="45" t="s">
        <v>525</v>
      </c>
      <c r="D485" s="45" t="s">
        <v>526</v>
      </c>
      <c r="E485" s="45"/>
      <c r="F485" s="45"/>
      <c r="G485" s="45"/>
      <c r="H485" s="45"/>
    </row>
    <row r="486" spans="1:8" x14ac:dyDescent="0.3">
      <c r="A486" s="45" t="s">
        <v>523</v>
      </c>
      <c r="B486" s="45" t="s">
        <v>117</v>
      </c>
      <c r="C486" s="45" t="s">
        <v>525</v>
      </c>
      <c r="D486" s="45" t="s">
        <v>526</v>
      </c>
      <c r="E486" s="45"/>
      <c r="F486" s="45"/>
      <c r="G486" s="45"/>
      <c r="H486" s="45"/>
    </row>
    <row r="487" spans="1:8" x14ac:dyDescent="0.3">
      <c r="A487" s="45" t="s">
        <v>527</v>
      </c>
      <c r="B487" s="45" t="s">
        <v>528</v>
      </c>
      <c r="C487" s="45" t="s">
        <v>356</v>
      </c>
      <c r="D487" s="45" t="s">
        <v>529</v>
      </c>
      <c r="E487" s="45"/>
      <c r="F487" s="45"/>
      <c r="G487" s="45"/>
      <c r="H487" s="45"/>
    </row>
    <row r="488" spans="1:8" x14ac:dyDescent="0.3">
      <c r="A488" s="45" t="s">
        <v>527</v>
      </c>
      <c r="B488" s="45" t="s">
        <v>530</v>
      </c>
      <c r="C488" s="45" t="s">
        <v>356</v>
      </c>
      <c r="D488" s="45" t="s">
        <v>529</v>
      </c>
      <c r="E488" s="45"/>
      <c r="F488" s="45"/>
      <c r="G488" s="45"/>
      <c r="H488" s="45"/>
    </row>
    <row r="489" spans="1:8" x14ac:dyDescent="0.3">
      <c r="A489" s="45" t="s">
        <v>124</v>
      </c>
      <c r="B489" s="45" t="s">
        <v>531</v>
      </c>
      <c r="C489" s="45" t="s">
        <v>532</v>
      </c>
      <c r="D489" s="45" t="s">
        <v>526</v>
      </c>
      <c r="E489" s="45"/>
      <c r="F489" s="45"/>
      <c r="G489" s="45"/>
      <c r="H489" s="45"/>
    </row>
    <row r="490" spans="1:8" x14ac:dyDescent="0.3">
      <c r="A490" s="45" t="s">
        <v>124</v>
      </c>
      <c r="B490" s="45" t="s">
        <v>533</v>
      </c>
      <c r="C490" s="45" t="s">
        <v>532</v>
      </c>
      <c r="D490" s="45" t="s">
        <v>526</v>
      </c>
      <c r="E490" s="45"/>
      <c r="F490" s="45"/>
      <c r="G490" s="45"/>
      <c r="H490" s="45"/>
    </row>
    <row r="491" spans="1:8" x14ac:dyDescent="0.3">
      <c r="A491" s="45" t="s">
        <v>534</v>
      </c>
      <c r="B491" s="45" t="s">
        <v>535</v>
      </c>
      <c r="C491" s="45" t="s">
        <v>536</v>
      </c>
      <c r="D491" s="45" t="s">
        <v>537</v>
      </c>
      <c r="E491" s="45"/>
    </row>
    <row r="492" spans="1:8" x14ac:dyDescent="0.3">
      <c r="A492" s="45" t="s">
        <v>534</v>
      </c>
      <c r="B492" s="45" t="s">
        <v>538</v>
      </c>
      <c r="C492" s="45" t="s">
        <v>536</v>
      </c>
      <c r="D492" s="45" t="s">
        <v>537</v>
      </c>
      <c r="E492" s="45"/>
    </row>
    <row r="493" spans="1:8" x14ac:dyDescent="0.3">
      <c r="A493" s="45"/>
      <c r="B493" s="45"/>
      <c r="C493" s="45"/>
      <c r="D493" s="45"/>
      <c r="E493" s="45"/>
    </row>
    <row r="494" spans="1:8" x14ac:dyDescent="0.3">
      <c r="A494" s="39" t="s">
        <v>539</v>
      </c>
      <c r="B494" s="45"/>
      <c r="C494" s="45"/>
      <c r="D494" s="45"/>
      <c r="E494" s="45"/>
    </row>
    <row r="495" spans="1:8" x14ac:dyDescent="0.3">
      <c r="A495" s="39" t="s">
        <v>113</v>
      </c>
      <c r="B495" s="39" t="s">
        <v>540</v>
      </c>
      <c r="C495" s="39" t="s">
        <v>541</v>
      </c>
      <c r="D495" s="45"/>
      <c r="E495" s="45"/>
    </row>
    <row r="496" spans="1:8" x14ac:dyDescent="0.3">
      <c r="A496" s="45" t="s">
        <v>530</v>
      </c>
      <c r="B496" s="39" t="str">
        <f>INDEX(A485:A492,MATCH(A496,B485:B492,0))</f>
        <v>Thomas Nguyen</v>
      </c>
      <c r="C496" s="45" t="s">
        <v>542</v>
      </c>
      <c r="D496" s="45"/>
      <c r="E496" s="45"/>
    </row>
    <row r="497" spans="1:5" x14ac:dyDescent="0.3">
      <c r="A497" s="45" t="s">
        <v>535</v>
      </c>
      <c r="B497" s="39" t="str">
        <f>INDEX(A485:A492,MATCH(A497,B485:B492,0))</f>
        <v>David Brown</v>
      </c>
      <c r="C497" s="45" t="s">
        <v>543</v>
      </c>
      <c r="D497" s="45"/>
      <c r="E497" s="45"/>
    </row>
    <row r="498" spans="1:5" x14ac:dyDescent="0.3">
      <c r="A498" s="45" t="s">
        <v>117</v>
      </c>
      <c r="B498" s="39" t="str">
        <f>INDEX(A485:A492,MATCH(A498,B485:B492,0))</f>
        <v>Maria Gomez</v>
      </c>
      <c r="C498" s="45" t="s">
        <v>544</v>
      </c>
      <c r="D498" s="45"/>
      <c r="E498" s="45"/>
    </row>
    <row r="499" spans="1:5" x14ac:dyDescent="0.3">
      <c r="A499" s="45"/>
      <c r="B499" s="45"/>
      <c r="C499" s="45"/>
      <c r="D499" s="45"/>
      <c r="E499" s="45"/>
    </row>
    <row r="500" spans="1:5" x14ac:dyDescent="0.3">
      <c r="A500" s="45"/>
      <c r="B500" s="49" t="str">
        <f ca="1">_xlfn.FORMULATEXT(B496)</f>
        <v>=INDEX(A485:A492,MATCH(A496,B485:B492,0))</v>
      </c>
      <c r="C500" s="49"/>
      <c r="D500" s="45"/>
      <c r="E500" s="45"/>
    </row>
    <row r="501" spans="1:5" x14ac:dyDescent="0.3">
      <c r="A501" s="45"/>
      <c r="B501" s="45"/>
      <c r="C501" s="45"/>
      <c r="D501" s="45"/>
      <c r="E501" s="45"/>
    </row>
    <row r="502" spans="1:5" x14ac:dyDescent="0.3">
      <c r="A502" s="28" t="s">
        <v>548</v>
      </c>
      <c r="B502" s="45"/>
      <c r="C502" s="45"/>
      <c r="D502" s="45"/>
      <c r="E502" s="45"/>
    </row>
    <row r="503" spans="1:5" x14ac:dyDescent="0.3">
      <c r="A503" s="45" t="s">
        <v>549</v>
      </c>
      <c r="B503" s="45"/>
      <c r="C503" s="45"/>
      <c r="D503" s="45"/>
      <c r="E503" s="45"/>
    </row>
    <row r="504" spans="1:5" x14ac:dyDescent="0.3">
      <c r="A504" s="45"/>
      <c r="B504" s="45"/>
      <c r="C504" s="45"/>
      <c r="D504" s="45"/>
      <c r="E504" s="45"/>
    </row>
    <row r="505" spans="1:5" x14ac:dyDescent="0.3">
      <c r="A505" s="45" t="s">
        <v>550</v>
      </c>
    </row>
    <row r="506" spans="1:5" x14ac:dyDescent="0.3">
      <c r="A506" s="45"/>
    </row>
    <row r="507" spans="1:5" x14ac:dyDescent="0.3">
      <c r="A507" s="45" t="s">
        <v>591</v>
      </c>
    </row>
    <row r="508" spans="1:5" x14ac:dyDescent="0.3">
      <c r="A508" s="45" t="s">
        <v>592</v>
      </c>
    </row>
    <row r="509" spans="1:5" x14ac:dyDescent="0.3">
      <c r="A509" s="45"/>
    </row>
    <row r="510" spans="1:5" x14ac:dyDescent="0.3">
      <c r="A510" s="45" t="s">
        <v>593</v>
      </c>
    </row>
    <row r="511" spans="1:5" x14ac:dyDescent="0.3">
      <c r="A511" s="45"/>
    </row>
    <row r="512" spans="1:5" x14ac:dyDescent="0.3">
      <c r="A512" s="45" t="s">
        <v>551</v>
      </c>
    </row>
    <row r="513" spans="1:4" x14ac:dyDescent="0.3">
      <c r="A513" s="45"/>
    </row>
    <row r="514" spans="1:4" x14ac:dyDescent="0.3">
      <c r="A514" s="45" t="s">
        <v>594</v>
      </c>
    </row>
    <row r="515" spans="1:4" x14ac:dyDescent="0.3">
      <c r="A515" s="45" t="s">
        <v>595</v>
      </c>
    </row>
    <row r="516" spans="1:4" x14ac:dyDescent="0.3">
      <c r="A516" s="45"/>
    </row>
    <row r="517" spans="1:4" x14ac:dyDescent="0.3">
      <c r="A517" s="45" t="s">
        <v>552</v>
      </c>
    </row>
    <row r="519" spans="1:4" x14ac:dyDescent="0.3">
      <c r="A519" s="6" t="s">
        <v>553</v>
      </c>
      <c r="B519" s="6" t="s">
        <v>403</v>
      </c>
      <c r="C519" s="6" t="s">
        <v>404</v>
      </c>
      <c r="D519" s="6" t="s">
        <v>554</v>
      </c>
    </row>
    <row r="520" spans="1:4" s="45" customFormat="1" x14ac:dyDescent="0.3">
      <c r="A520" s="45" t="s">
        <v>555</v>
      </c>
      <c r="B520" s="45" t="s">
        <v>556</v>
      </c>
      <c r="C520" s="45" t="s">
        <v>557</v>
      </c>
      <c r="D520" s="45" t="s">
        <v>558</v>
      </c>
    </row>
    <row r="521" spans="1:4" s="45" customFormat="1" x14ac:dyDescent="0.3">
      <c r="A521" s="45" t="s">
        <v>559</v>
      </c>
      <c r="B521" s="45" t="s">
        <v>560</v>
      </c>
      <c r="C521" s="45" t="s">
        <v>561</v>
      </c>
      <c r="D521" s="45" t="s">
        <v>558</v>
      </c>
    </row>
    <row r="522" spans="1:4" s="45" customFormat="1" x14ac:dyDescent="0.3">
      <c r="A522" s="45" t="s">
        <v>562</v>
      </c>
      <c r="B522" s="45" t="s">
        <v>563</v>
      </c>
      <c r="C522" s="45" t="s">
        <v>564</v>
      </c>
      <c r="D522" s="45" t="s">
        <v>565</v>
      </c>
    </row>
    <row r="523" spans="1:4" s="45" customFormat="1" x14ac:dyDescent="0.3">
      <c r="A523" s="45" t="s">
        <v>566</v>
      </c>
      <c r="B523" s="45" t="s">
        <v>567</v>
      </c>
      <c r="C523" s="45" t="s">
        <v>568</v>
      </c>
      <c r="D523" s="45" t="s">
        <v>569</v>
      </c>
    </row>
    <row r="524" spans="1:4" s="45" customFormat="1" x14ac:dyDescent="0.3">
      <c r="A524" s="45" t="s">
        <v>570</v>
      </c>
      <c r="B524" s="45" t="s">
        <v>571</v>
      </c>
      <c r="C524" s="45" t="s">
        <v>572</v>
      </c>
      <c r="D524" s="45" t="s">
        <v>565</v>
      </c>
    </row>
    <row r="525" spans="1:4" s="45" customFormat="1" x14ac:dyDescent="0.3">
      <c r="A525" s="45" t="s">
        <v>573</v>
      </c>
      <c r="B525" s="45" t="s">
        <v>574</v>
      </c>
      <c r="C525" s="45" t="s">
        <v>575</v>
      </c>
      <c r="D525" s="45" t="s">
        <v>558</v>
      </c>
    </row>
    <row r="526" spans="1:4" s="45" customFormat="1" x14ac:dyDescent="0.3">
      <c r="A526" s="45" t="s">
        <v>576</v>
      </c>
      <c r="B526" s="45" t="s">
        <v>577</v>
      </c>
      <c r="C526" s="45" t="s">
        <v>578</v>
      </c>
      <c r="D526" s="45" t="s">
        <v>569</v>
      </c>
    </row>
    <row r="527" spans="1:4" s="45" customFormat="1" x14ac:dyDescent="0.3">
      <c r="A527" s="45" t="s">
        <v>579</v>
      </c>
      <c r="B527" s="45" t="s">
        <v>580</v>
      </c>
      <c r="C527" s="45" t="s">
        <v>581</v>
      </c>
      <c r="D527" s="45" t="s">
        <v>565</v>
      </c>
    </row>
    <row r="528" spans="1:4" x14ac:dyDescent="0.3">
      <c r="A528" s="45"/>
      <c r="B528" s="45"/>
      <c r="C528" s="45"/>
      <c r="D528" s="45"/>
    </row>
    <row r="529" spans="1:5" x14ac:dyDescent="0.3">
      <c r="A529" s="40" t="s">
        <v>582</v>
      </c>
      <c r="B529" s="40" t="s">
        <v>403</v>
      </c>
      <c r="C529" s="40" t="s">
        <v>583</v>
      </c>
      <c r="D529" s="40" t="s">
        <v>584</v>
      </c>
    </row>
    <row r="530" spans="1:5" s="45" customFormat="1" x14ac:dyDescent="0.3">
      <c r="A530" s="45" t="s">
        <v>585</v>
      </c>
      <c r="B530" s="45" t="s">
        <v>577</v>
      </c>
      <c r="C530" s="4" t="str">
        <f>INDEX(A520:A527,MATCH(B530,B520:B527,0))</f>
        <v>ingrid.larsen@northwind.com</v>
      </c>
      <c r="D530" s="45" t="s">
        <v>586</v>
      </c>
    </row>
    <row r="531" spans="1:5" s="45" customFormat="1" x14ac:dyDescent="0.3">
      <c r="A531" s="45" t="s">
        <v>587</v>
      </c>
      <c r="B531" s="45" t="s">
        <v>560</v>
      </c>
      <c r="C531" s="4" t="str">
        <f t="shared" ref="C531:C532" si="19">INDEX(A521:A528,MATCH(B531,B521:B528,0))</f>
        <v>bianca.chen@northwind.com</v>
      </c>
      <c r="D531" s="45" t="s">
        <v>588</v>
      </c>
    </row>
    <row r="532" spans="1:5" s="45" customFormat="1" x14ac:dyDescent="0.3">
      <c r="A532" s="45" t="s">
        <v>589</v>
      </c>
      <c r="B532" s="45" t="s">
        <v>563</v>
      </c>
      <c r="C532" s="4" t="str">
        <f t="shared" si="19"/>
        <v>diego.souza@northwind.com</v>
      </c>
      <c r="D532" s="45" t="s">
        <v>590</v>
      </c>
    </row>
    <row r="533" spans="1:5" s="45" customFormat="1" x14ac:dyDescent="0.3"/>
    <row r="534" spans="1:5" s="45" customFormat="1" x14ac:dyDescent="0.3">
      <c r="C534" s="45" t="str">
        <f ca="1">_xlfn.FORMULATEXT(C530)</f>
        <v>=INDEX(A520:A527,MATCH(B530,B520:B527,0))</v>
      </c>
    </row>
    <row r="536" spans="1:5" x14ac:dyDescent="0.3">
      <c r="A536" s="28" t="s">
        <v>596</v>
      </c>
    </row>
    <row r="537" spans="1:5" ht="124.2" x14ac:dyDescent="0.3">
      <c r="A537" s="2" t="s">
        <v>597</v>
      </c>
    </row>
    <row r="539" spans="1:5" x14ac:dyDescent="0.3">
      <c r="A539" s="6" t="s">
        <v>383</v>
      </c>
      <c r="B539" s="6" t="s">
        <v>598</v>
      </c>
      <c r="C539" s="6" t="s">
        <v>599</v>
      </c>
      <c r="D539" s="6" t="s">
        <v>600</v>
      </c>
      <c r="E539" s="6" t="s">
        <v>601</v>
      </c>
    </row>
    <row r="540" spans="1:5" x14ac:dyDescent="0.3">
      <c r="A540" s="45" t="s">
        <v>602</v>
      </c>
      <c r="B540" s="45">
        <v>5</v>
      </c>
      <c r="C540" s="45">
        <v>7</v>
      </c>
      <c r="D540" s="45">
        <v>10</v>
      </c>
      <c r="E540" s="45">
        <v>14</v>
      </c>
    </row>
    <row r="541" spans="1:5" x14ac:dyDescent="0.3">
      <c r="A541" s="45" t="s">
        <v>603</v>
      </c>
      <c r="B541" s="45">
        <v>9</v>
      </c>
      <c r="C541" s="45">
        <v>12</v>
      </c>
      <c r="D541" s="45">
        <v>16</v>
      </c>
      <c r="E541" s="45">
        <v>22</v>
      </c>
    </row>
    <row r="542" spans="1:5" x14ac:dyDescent="0.3">
      <c r="A542" s="45" t="s">
        <v>604</v>
      </c>
      <c r="B542" s="45">
        <v>14</v>
      </c>
      <c r="C542" s="45">
        <v>19</v>
      </c>
      <c r="D542" s="45">
        <v>28</v>
      </c>
      <c r="E542" s="45">
        <v>40</v>
      </c>
    </row>
    <row r="543" spans="1:5" x14ac:dyDescent="0.3">
      <c r="A543" s="45" t="s">
        <v>605</v>
      </c>
      <c r="B543" s="45">
        <v>24</v>
      </c>
      <c r="C543" s="45">
        <v>33</v>
      </c>
      <c r="D543" s="45">
        <v>48</v>
      </c>
      <c r="E543" s="45">
        <v>68</v>
      </c>
    </row>
    <row r="544" spans="1:5" x14ac:dyDescent="0.3">
      <c r="A544" s="45" t="s">
        <v>606</v>
      </c>
      <c r="B544" s="45">
        <v>30</v>
      </c>
      <c r="C544" s="45">
        <v>42</v>
      </c>
      <c r="D544" s="45">
        <v>60</v>
      </c>
      <c r="E544" s="45">
        <v>85</v>
      </c>
    </row>
    <row r="545" spans="1:5" x14ac:dyDescent="0.3">
      <c r="A545" s="45"/>
      <c r="B545" s="45"/>
      <c r="C545" s="45"/>
      <c r="D545" s="45"/>
      <c r="E545" s="45"/>
    </row>
    <row r="546" spans="1:5" x14ac:dyDescent="0.3">
      <c r="A546" s="45" t="s">
        <v>607</v>
      </c>
      <c r="B546" s="45" t="s">
        <v>604</v>
      </c>
      <c r="C546" s="45"/>
      <c r="D546" s="45"/>
      <c r="E546" s="45"/>
    </row>
    <row r="547" spans="1:5" x14ac:dyDescent="0.3">
      <c r="A547" s="45" t="s">
        <v>608</v>
      </c>
      <c r="B547" s="45" t="s">
        <v>600</v>
      </c>
      <c r="C547" s="45"/>
      <c r="D547" s="45"/>
      <c r="E547" s="45"/>
    </row>
    <row r="548" spans="1:5" x14ac:dyDescent="0.3">
      <c r="A548" s="45" t="s">
        <v>609</v>
      </c>
      <c r="B548" s="4">
        <f>INDEX(B540:E544,MATCH(B546,A540:A544),MATCH(B547,B539:E539,0))</f>
        <v>28</v>
      </c>
      <c r="C548" s="45"/>
      <c r="D548" s="45"/>
      <c r="E548" s="45"/>
    </row>
    <row r="550" spans="1:5" x14ac:dyDescent="0.3">
      <c r="B550" s="51" t="str">
        <f ca="1">_xlfn.FORMULATEXT(B548)</f>
        <v>=INDEX(B540:E544,MATCH(B546,A540:A544),MATCH(B547,B539:E539,0))</v>
      </c>
    </row>
    <row r="551" spans="1:5" x14ac:dyDescent="0.3">
      <c r="B551" s="51"/>
    </row>
    <row r="552" spans="1:5" x14ac:dyDescent="0.3">
      <c r="B552" s="51"/>
    </row>
    <row r="553" spans="1:5" x14ac:dyDescent="0.3">
      <c r="A553" s="28" t="s">
        <v>610</v>
      </c>
    </row>
    <row r="554" spans="1:5" ht="110.4" x14ac:dyDescent="0.3">
      <c r="A554" s="2" t="s">
        <v>611</v>
      </c>
    </row>
    <row r="555" spans="1:5" ht="151.80000000000001" x14ac:dyDescent="0.3">
      <c r="A555" s="2" t="s">
        <v>612</v>
      </c>
    </row>
    <row r="556" spans="1:5" s="2" customFormat="1" x14ac:dyDescent="0.3"/>
    <row r="557" spans="1:5" s="2" customFormat="1" x14ac:dyDescent="0.3">
      <c r="A557" s="2" t="s">
        <v>46</v>
      </c>
      <c r="B557" s="2" t="s">
        <v>314</v>
      </c>
      <c r="C557" s="2" t="s">
        <v>315</v>
      </c>
      <c r="D557" s="2" t="s">
        <v>316</v>
      </c>
      <c r="E557" s="2" t="s">
        <v>317</v>
      </c>
    </row>
    <row r="558" spans="1:5" s="2" customFormat="1" x14ac:dyDescent="0.3">
      <c r="A558" s="2" t="s">
        <v>614</v>
      </c>
      <c r="B558" s="2">
        <v>25.99</v>
      </c>
      <c r="C558" s="2">
        <v>27.49</v>
      </c>
      <c r="D558" s="2">
        <v>26.99</v>
      </c>
      <c r="E558" s="2">
        <v>28.99</v>
      </c>
    </row>
    <row r="559" spans="1:5" s="2" customFormat="1" x14ac:dyDescent="0.3">
      <c r="A559" s="2" t="s">
        <v>615</v>
      </c>
      <c r="B559" s="2">
        <v>34.5</v>
      </c>
      <c r="C559" s="2">
        <v>35</v>
      </c>
      <c r="D559" s="2">
        <v>36.25</v>
      </c>
      <c r="E559" s="2">
        <v>37</v>
      </c>
    </row>
    <row r="560" spans="1:5" s="2" customFormat="1" x14ac:dyDescent="0.3">
      <c r="A560" s="2" t="s">
        <v>617</v>
      </c>
      <c r="B560" s="2">
        <v>18.75</v>
      </c>
      <c r="C560" s="2">
        <v>19.25</v>
      </c>
      <c r="D560" s="2">
        <v>19</v>
      </c>
      <c r="E560" s="2">
        <v>20.5</v>
      </c>
    </row>
    <row r="561" spans="1:5" s="2" customFormat="1" x14ac:dyDescent="0.3">
      <c r="A561" s="2" t="s">
        <v>618</v>
      </c>
      <c r="B561" s="2">
        <v>42</v>
      </c>
      <c r="C561" s="2">
        <v>43.5</v>
      </c>
      <c r="D561" s="2">
        <v>44</v>
      </c>
      <c r="E561" s="2">
        <v>45.25</v>
      </c>
    </row>
    <row r="562" spans="1:5" s="2" customFormat="1" x14ac:dyDescent="0.3">
      <c r="A562" s="2" t="s">
        <v>620</v>
      </c>
      <c r="B562" s="2">
        <v>56.99</v>
      </c>
      <c r="C562" s="2">
        <v>58.49</v>
      </c>
      <c r="D562" s="2">
        <v>59.99</v>
      </c>
      <c r="E562" s="2">
        <v>61.5</v>
      </c>
    </row>
    <row r="563" spans="1:5" s="2" customFormat="1" x14ac:dyDescent="0.3">
      <c r="A563" s="2" t="s">
        <v>621</v>
      </c>
      <c r="B563" s="2">
        <v>12.25</v>
      </c>
      <c r="C563" s="2">
        <v>12.75</v>
      </c>
      <c r="D563" s="2">
        <v>13</v>
      </c>
      <c r="E563" s="2">
        <v>13.5</v>
      </c>
    </row>
    <row r="564" spans="1:5" s="2" customFormat="1" x14ac:dyDescent="0.3">
      <c r="A564" s="2" t="s">
        <v>622</v>
      </c>
      <c r="B564" s="2">
        <v>89.99</v>
      </c>
      <c r="C564" s="2">
        <v>92.5</v>
      </c>
      <c r="D564" s="2">
        <v>94</v>
      </c>
      <c r="E564" s="2">
        <v>96.75</v>
      </c>
    </row>
    <row r="565" spans="1:5" s="2" customFormat="1" x14ac:dyDescent="0.3"/>
    <row r="566" spans="1:5" s="2" customFormat="1" x14ac:dyDescent="0.3"/>
    <row r="567" spans="1:5" s="2" customFormat="1" x14ac:dyDescent="0.3">
      <c r="A567" s="2" t="s">
        <v>613</v>
      </c>
    </row>
    <row r="568" spans="1:5" s="2" customFormat="1" x14ac:dyDescent="0.3">
      <c r="A568" s="2" t="s">
        <v>623</v>
      </c>
      <c r="B568" s="2" t="s">
        <v>618</v>
      </c>
    </row>
    <row r="569" spans="1:5" s="2" customFormat="1" x14ac:dyDescent="0.3">
      <c r="A569" s="2" t="s">
        <v>616</v>
      </c>
      <c r="B569" s="2" t="s">
        <v>316</v>
      </c>
    </row>
    <row r="570" spans="1:5" s="2" customFormat="1" x14ac:dyDescent="0.3"/>
    <row r="571" spans="1:5" s="2" customFormat="1" x14ac:dyDescent="0.3">
      <c r="A571" s="2" t="s">
        <v>619</v>
      </c>
      <c r="B571" s="4" cm="1">
        <f t="array" ref="B571">_xlfn.XLOOKUP(B568,A558:A564,_xlfn.XLOOKUP(B569,B557:E557,B558:E564))</f>
        <v>44</v>
      </c>
    </row>
    <row r="572" spans="1:5" s="2" customFormat="1" ht="13.8" customHeight="1" x14ac:dyDescent="0.3">
      <c r="B572" s="49" t="str">
        <f ca="1">_xlfn.FORMULATEXT(B571)</f>
        <v>=XLOOKUP(B568,A558:A564,XLOOKUP(B569,B557:E557,B558:E564))</v>
      </c>
    </row>
    <row r="573" spans="1:5" s="2" customFormat="1" x14ac:dyDescent="0.3">
      <c r="B573" s="49"/>
    </row>
    <row r="574" spans="1:5" s="2" customFormat="1" x14ac:dyDescent="0.3">
      <c r="B574" s="49"/>
    </row>
    <row r="575" spans="1:5" s="2" customFormat="1" x14ac:dyDescent="0.3">
      <c r="B575" s="44"/>
    </row>
    <row r="576" spans="1:5" s="2" customFormat="1" x14ac:dyDescent="0.3">
      <c r="A576" s="28" t="s">
        <v>624</v>
      </c>
      <c r="B576" s="41"/>
    </row>
    <row r="577" spans="1:7" s="2" customFormat="1" ht="41.4" x14ac:dyDescent="0.3">
      <c r="A577" s="2" t="s">
        <v>625</v>
      </c>
    </row>
    <row r="578" spans="1:7" s="2" customFormat="1" ht="82.8" x14ac:dyDescent="0.3">
      <c r="A578" s="2" t="s">
        <v>626</v>
      </c>
    </row>
    <row r="579" spans="1:7" s="2" customFormat="1" x14ac:dyDescent="0.3"/>
    <row r="580" spans="1:7" s="2" customFormat="1" x14ac:dyDescent="0.3">
      <c r="A580" s="43" t="s">
        <v>627</v>
      </c>
    </row>
    <row r="581" spans="1:7" s="2" customFormat="1" ht="41.4" x14ac:dyDescent="0.3">
      <c r="B581" s="43" t="s">
        <v>628</v>
      </c>
    </row>
    <row r="582" spans="1:7" s="2" customFormat="1" x14ac:dyDescent="0.3">
      <c r="A582" s="43" t="s">
        <v>403</v>
      </c>
      <c r="B582" s="42">
        <v>1004</v>
      </c>
    </row>
    <row r="583" spans="1:7" s="2" customFormat="1" x14ac:dyDescent="0.3">
      <c r="C583" s="43" t="s">
        <v>629</v>
      </c>
      <c r="D583" s="43" t="s">
        <v>553</v>
      </c>
      <c r="E583" s="43" t="s">
        <v>630</v>
      </c>
    </row>
    <row r="584" spans="1:7" s="2" customFormat="1" x14ac:dyDescent="0.3">
      <c r="C584" s="2" t="str" cm="1">
        <f t="array" ref="C584:E584">_xlfn.XLOOKUP(B582,A588:A594,B588:D594)</f>
        <v>Keira Lewis</v>
      </c>
      <c r="D584" s="2" t="str">
        <v>keira.lewis@northwind.com</v>
      </c>
      <c r="E584" s="2" t="str">
        <v>(555) 010-1188</v>
      </c>
    </row>
    <row r="585" spans="1:7" s="2" customFormat="1" x14ac:dyDescent="0.3">
      <c r="C585" s="2" t="str">
        <f ca="1">_xlfn.FORMULATEXT(C584)</f>
        <v>=XLOOKUP(B582,A588:A594,B588:D594)</v>
      </c>
    </row>
    <row r="586" spans="1:7" s="2" customFormat="1" x14ac:dyDescent="0.3">
      <c r="A586" s="43" t="s">
        <v>634</v>
      </c>
    </row>
    <row r="587" spans="1:7" s="2" customFormat="1" x14ac:dyDescent="0.3">
      <c r="A587" s="43" t="s">
        <v>403</v>
      </c>
      <c r="B587" s="43" t="s">
        <v>629</v>
      </c>
      <c r="C587" s="43" t="s">
        <v>553</v>
      </c>
      <c r="D587" s="43" t="s">
        <v>630</v>
      </c>
      <c r="E587" s="43" t="s">
        <v>554</v>
      </c>
    </row>
    <row r="588" spans="1:7" s="2" customFormat="1" x14ac:dyDescent="0.3">
      <c r="A588" s="2">
        <v>1001</v>
      </c>
      <c r="B588" s="2" t="s">
        <v>524</v>
      </c>
      <c r="C588" s="2" t="s">
        <v>635</v>
      </c>
      <c r="D588" s="2" t="s">
        <v>636</v>
      </c>
      <c r="E588" s="2" t="s">
        <v>637</v>
      </c>
    </row>
    <row r="589" spans="1:7" s="2" customFormat="1" x14ac:dyDescent="0.3">
      <c r="A589" s="2">
        <v>1002</v>
      </c>
      <c r="B589" s="2" t="s">
        <v>530</v>
      </c>
      <c r="C589" s="2" t="s">
        <v>638</v>
      </c>
      <c r="D589" s="2" t="s">
        <v>639</v>
      </c>
      <c r="E589" s="2" t="s">
        <v>637</v>
      </c>
    </row>
    <row r="590" spans="1:7" s="2" customFormat="1" x14ac:dyDescent="0.3">
      <c r="A590" s="2">
        <v>1003</v>
      </c>
      <c r="B590" s="2" t="s">
        <v>640</v>
      </c>
      <c r="C590" s="2" t="s">
        <v>641</v>
      </c>
      <c r="D590" s="2" t="s">
        <v>642</v>
      </c>
      <c r="E590" s="2" t="s">
        <v>643</v>
      </c>
    </row>
    <row r="591" spans="1:7" s="2" customFormat="1" x14ac:dyDescent="0.3">
      <c r="A591" s="2">
        <v>1004</v>
      </c>
      <c r="B591" s="2" t="s">
        <v>631</v>
      </c>
      <c r="C591" s="2" t="s">
        <v>632</v>
      </c>
      <c r="D591" s="2" t="s">
        <v>633</v>
      </c>
      <c r="E591" s="2" t="s">
        <v>643</v>
      </c>
    </row>
    <row r="592" spans="1:7" x14ac:dyDescent="0.3">
      <c r="A592" s="2">
        <v>1005</v>
      </c>
      <c r="B592" s="2" t="s">
        <v>531</v>
      </c>
      <c r="C592" s="2" t="s">
        <v>644</v>
      </c>
      <c r="D592" s="2" t="s">
        <v>645</v>
      </c>
      <c r="E592" s="2" t="s">
        <v>637</v>
      </c>
      <c r="F592" s="2"/>
      <c r="G592" s="2"/>
    </row>
    <row r="593" spans="1:7" x14ac:dyDescent="0.3">
      <c r="A593" s="2">
        <v>1006</v>
      </c>
      <c r="B593" s="2" t="s">
        <v>646</v>
      </c>
      <c r="C593" s="2" t="s">
        <v>647</v>
      </c>
      <c r="D593" s="2" t="s">
        <v>648</v>
      </c>
      <c r="E593" s="2" t="s">
        <v>637</v>
      </c>
      <c r="F593" s="2"/>
      <c r="G593" s="2"/>
    </row>
    <row r="594" spans="1:7" x14ac:dyDescent="0.3">
      <c r="A594" s="2">
        <v>1007</v>
      </c>
      <c r="B594" s="2" t="s">
        <v>120</v>
      </c>
      <c r="C594" s="2" t="s">
        <v>649</v>
      </c>
      <c r="D594" s="2" t="s">
        <v>650</v>
      </c>
      <c r="E594" s="2" t="s">
        <v>569</v>
      </c>
      <c r="F594" s="2"/>
      <c r="G594" s="2"/>
    </row>
    <row r="595" spans="1:7" x14ac:dyDescent="0.3">
      <c r="A595" s="2"/>
      <c r="B595" s="2"/>
      <c r="C595" s="2"/>
      <c r="D595" s="2"/>
      <c r="E595" s="2"/>
      <c r="F595" s="2"/>
      <c r="G595" s="2"/>
    </row>
    <row r="596" spans="1:7" x14ac:dyDescent="0.3">
      <c r="A596" s="28" t="s">
        <v>651</v>
      </c>
      <c r="B596" s="2"/>
      <c r="C596" s="2"/>
      <c r="D596" s="2"/>
      <c r="E596" s="2"/>
      <c r="F596" s="2"/>
      <c r="G596" s="2"/>
    </row>
    <row r="597" spans="1:7" ht="82.8" x14ac:dyDescent="0.3">
      <c r="A597" s="2" t="s">
        <v>652</v>
      </c>
      <c r="B597" s="2"/>
      <c r="C597" s="2"/>
      <c r="D597" s="2"/>
      <c r="E597" s="2"/>
      <c r="F597" s="2"/>
      <c r="G597" s="2"/>
    </row>
    <row r="598" spans="1:7" ht="207" x14ac:dyDescent="0.3">
      <c r="A598" s="2" t="s">
        <v>653</v>
      </c>
      <c r="B598" s="2"/>
      <c r="C598" s="2"/>
      <c r="D598" s="2"/>
      <c r="E598" s="2"/>
      <c r="F598" s="2"/>
      <c r="G598" s="2"/>
    </row>
    <row r="599" spans="1:7" s="2" customFormat="1" x14ac:dyDescent="0.3"/>
    <row r="600" spans="1:7" s="2" customFormat="1" x14ac:dyDescent="0.3">
      <c r="A600" s="2" t="s">
        <v>654</v>
      </c>
      <c r="B600" s="47" t="s">
        <v>8</v>
      </c>
      <c r="C600" s="47" t="s">
        <v>655</v>
      </c>
      <c r="D600" s="47" t="s">
        <v>656</v>
      </c>
    </row>
    <row r="601" spans="1:7" s="2" customFormat="1" x14ac:dyDescent="0.3">
      <c r="A601" s="2" t="s">
        <v>657</v>
      </c>
      <c r="B601" s="2">
        <v>12</v>
      </c>
      <c r="C601" s="2">
        <v>3200</v>
      </c>
      <c r="D601" s="2" t="b">
        <f>AND(B601&gt;=$B$608,C601&gt;=$D$608)</f>
        <v>1</v>
      </c>
    </row>
    <row r="602" spans="1:7" s="2" customFormat="1" x14ac:dyDescent="0.3">
      <c r="A602" s="2" t="s">
        <v>658</v>
      </c>
      <c r="B602" s="2">
        <v>9</v>
      </c>
      <c r="C602" s="2">
        <v>2800</v>
      </c>
      <c r="D602" s="2" t="b">
        <f t="shared" ref="D602:D606" si="20">AND(B602&gt;=$B$608,C602&gt;=$D$608)</f>
        <v>0</v>
      </c>
    </row>
    <row r="603" spans="1:7" s="2" customFormat="1" x14ac:dyDescent="0.3">
      <c r="A603" s="2" t="s">
        <v>659</v>
      </c>
      <c r="B603" s="2">
        <v>10</v>
      </c>
      <c r="C603" s="2">
        <v>2400</v>
      </c>
      <c r="D603" s="2" t="b">
        <f t="shared" si="20"/>
        <v>0</v>
      </c>
    </row>
    <row r="604" spans="1:7" s="2" customFormat="1" x14ac:dyDescent="0.3">
      <c r="A604" s="2" t="s">
        <v>660</v>
      </c>
      <c r="B604" s="2">
        <v>15</v>
      </c>
      <c r="C604" s="2">
        <v>5100</v>
      </c>
      <c r="D604" s="2" t="b">
        <f t="shared" si="20"/>
        <v>1</v>
      </c>
    </row>
    <row r="605" spans="1:7" s="2" customFormat="1" x14ac:dyDescent="0.3">
      <c r="A605" s="2" t="s">
        <v>661</v>
      </c>
      <c r="B605" s="2">
        <v>7</v>
      </c>
      <c r="C605" s="2">
        <v>1800</v>
      </c>
      <c r="D605" s="2" t="b">
        <f t="shared" si="20"/>
        <v>0</v>
      </c>
    </row>
    <row r="606" spans="1:7" s="2" customFormat="1" x14ac:dyDescent="0.3">
      <c r="A606" s="2" t="s">
        <v>662</v>
      </c>
      <c r="B606" s="2">
        <v>11</v>
      </c>
      <c r="C606" s="2">
        <v>2500</v>
      </c>
      <c r="D606" s="2" t="b">
        <f t="shared" si="20"/>
        <v>1</v>
      </c>
    </row>
    <row r="607" spans="1:7" s="2" customFormat="1" x14ac:dyDescent="0.3"/>
    <row r="608" spans="1:7" s="2" customFormat="1" x14ac:dyDescent="0.3">
      <c r="A608" s="46" t="s">
        <v>663</v>
      </c>
      <c r="B608" s="47">
        <v>10</v>
      </c>
      <c r="C608" s="46" t="s">
        <v>664</v>
      </c>
      <c r="D608" s="47">
        <v>2500</v>
      </c>
    </row>
    <row r="609" spans="1:6" s="2" customFormat="1" x14ac:dyDescent="0.3"/>
    <row r="610" spans="1:6" s="2" customFormat="1" x14ac:dyDescent="0.3">
      <c r="C610" s="2" t="str">
        <f ca="1">_xlfn.FORMULATEXT(D601)</f>
        <v>=AND(B601&gt;=$B$608,C601&gt;=$D$608)</v>
      </c>
    </row>
    <row r="612" spans="1:6" x14ac:dyDescent="0.3">
      <c r="A612" s="28" t="s">
        <v>665</v>
      </c>
    </row>
    <row r="613" spans="1:6" ht="151.80000000000001" x14ac:dyDescent="0.3">
      <c r="A613" s="2" t="s">
        <v>666</v>
      </c>
    </row>
    <row r="615" spans="1:6" x14ac:dyDescent="0.3">
      <c r="A615" s="6" t="s">
        <v>104</v>
      </c>
      <c r="B615" s="6" t="s">
        <v>667</v>
      </c>
      <c r="C615" s="6" t="s">
        <v>305</v>
      </c>
      <c r="D615" s="6" t="s">
        <v>105</v>
      </c>
      <c r="E615" s="6" t="s">
        <v>668</v>
      </c>
      <c r="F615" s="48" t="s">
        <v>669</v>
      </c>
    </row>
    <row r="616" spans="1:6" x14ac:dyDescent="0.3">
      <c r="A616" s="45">
        <v>10021</v>
      </c>
      <c r="B616" s="45" t="s">
        <v>637</v>
      </c>
      <c r="C616" s="45" t="s">
        <v>670</v>
      </c>
      <c r="D616" s="16">
        <v>45932</v>
      </c>
      <c r="E616" s="45">
        <v>8500</v>
      </c>
      <c r="F616" s="4" t="str">
        <f>IF(OR(E616&gt;10000,B616="VIP"),"High","Standard")</f>
        <v>Standard</v>
      </c>
    </row>
    <row r="617" spans="1:6" x14ac:dyDescent="0.3">
      <c r="A617" s="45">
        <v>10022</v>
      </c>
      <c r="B617" s="45" t="s">
        <v>671</v>
      </c>
      <c r="C617" s="45" t="s">
        <v>672</v>
      </c>
      <c r="D617" s="16">
        <v>45933</v>
      </c>
      <c r="E617" s="45">
        <v>4200</v>
      </c>
      <c r="F617" s="4" t="str">
        <f t="shared" ref="F617:F625" si="21">IF(OR(E617&gt;10000,B617="VIP"),"High","Standard")</f>
        <v>High</v>
      </c>
    </row>
    <row r="618" spans="1:6" x14ac:dyDescent="0.3">
      <c r="A618" s="45">
        <v>10023</v>
      </c>
      <c r="B618" s="45" t="s">
        <v>637</v>
      </c>
      <c r="C618" s="45" t="s">
        <v>673</v>
      </c>
      <c r="D618" s="16">
        <v>45933</v>
      </c>
      <c r="E618" s="45">
        <v>12500</v>
      </c>
      <c r="F618" s="4" t="str">
        <f t="shared" si="21"/>
        <v>High</v>
      </c>
    </row>
    <row r="619" spans="1:6" x14ac:dyDescent="0.3">
      <c r="A619" s="45">
        <v>10024</v>
      </c>
      <c r="B619" s="45" t="s">
        <v>637</v>
      </c>
      <c r="C619" s="45" t="s">
        <v>674</v>
      </c>
      <c r="D619" s="16">
        <v>45934</v>
      </c>
      <c r="E619" s="45">
        <v>9999</v>
      </c>
      <c r="F619" s="4" t="str">
        <f t="shared" si="21"/>
        <v>Standard</v>
      </c>
    </row>
    <row r="620" spans="1:6" x14ac:dyDescent="0.3">
      <c r="A620" s="45">
        <v>10025</v>
      </c>
      <c r="B620" s="45" t="s">
        <v>671</v>
      </c>
      <c r="C620" s="45" t="s">
        <v>670</v>
      </c>
      <c r="D620" s="16">
        <v>45934</v>
      </c>
      <c r="E620" s="45">
        <v>10000</v>
      </c>
      <c r="F620" s="4" t="str">
        <f t="shared" si="21"/>
        <v>High</v>
      </c>
    </row>
    <row r="621" spans="1:6" x14ac:dyDescent="0.3">
      <c r="A621" s="45">
        <v>10026</v>
      </c>
      <c r="B621" s="45" t="s">
        <v>637</v>
      </c>
      <c r="C621" s="45" t="s">
        <v>672</v>
      </c>
      <c r="D621" s="16">
        <v>45935</v>
      </c>
      <c r="E621" s="45">
        <v>10001</v>
      </c>
      <c r="F621" s="4" t="str">
        <f t="shared" si="21"/>
        <v>High</v>
      </c>
    </row>
    <row r="622" spans="1:6" x14ac:dyDescent="0.3">
      <c r="A622" s="45">
        <v>10027</v>
      </c>
      <c r="B622" s="45" t="s">
        <v>637</v>
      </c>
      <c r="C622" s="45" t="s">
        <v>673</v>
      </c>
      <c r="D622" s="16">
        <v>45936</v>
      </c>
      <c r="E622" s="45">
        <v>17500</v>
      </c>
      <c r="F622" s="4" t="str">
        <f t="shared" si="21"/>
        <v>High</v>
      </c>
    </row>
    <row r="623" spans="1:6" x14ac:dyDescent="0.3">
      <c r="A623" s="45">
        <v>10028</v>
      </c>
      <c r="B623" s="45" t="s">
        <v>637</v>
      </c>
      <c r="C623" s="45" t="s">
        <v>674</v>
      </c>
      <c r="D623" s="16">
        <v>45936</v>
      </c>
      <c r="E623" s="45">
        <v>5400</v>
      </c>
      <c r="F623" s="4" t="str">
        <f t="shared" si="21"/>
        <v>Standard</v>
      </c>
    </row>
    <row r="624" spans="1:6" x14ac:dyDescent="0.3">
      <c r="A624" s="45">
        <v>10029</v>
      </c>
      <c r="B624" s="45" t="s">
        <v>671</v>
      </c>
      <c r="C624" s="45" t="s">
        <v>672</v>
      </c>
      <c r="D624" s="16">
        <v>45937</v>
      </c>
      <c r="E624" s="45">
        <v>15000</v>
      </c>
      <c r="F624" s="4" t="str">
        <f t="shared" si="21"/>
        <v>High</v>
      </c>
    </row>
    <row r="625" spans="1:7" x14ac:dyDescent="0.3">
      <c r="A625" s="45">
        <v>10030</v>
      </c>
      <c r="B625" s="45" t="s">
        <v>637</v>
      </c>
      <c r="C625" s="45" t="s">
        <v>670</v>
      </c>
      <c r="D625" s="16">
        <v>45937</v>
      </c>
      <c r="E625" s="45">
        <v>10250</v>
      </c>
      <c r="F625" s="4" t="str">
        <f t="shared" si="21"/>
        <v>High</v>
      </c>
    </row>
    <row r="627" spans="1:7" ht="27.6" customHeight="1" x14ac:dyDescent="0.3">
      <c r="A627" s="2"/>
      <c r="B627" s="2"/>
      <c r="C627" s="2"/>
      <c r="D627" s="2"/>
      <c r="E627" s="49" t="str">
        <f ca="1">_xlfn.FORMULATEXT(F616)</f>
        <v>=IF(OR(E616&gt;10000,B616="VIP"),"High","Standard")</v>
      </c>
      <c r="F627" s="49"/>
      <c r="G627" s="2"/>
    </row>
    <row r="628" spans="1:7" x14ac:dyDescent="0.3">
      <c r="A628" s="28" t="s">
        <v>675</v>
      </c>
      <c r="B628" s="2"/>
      <c r="C628" s="2"/>
      <c r="D628" s="2"/>
      <c r="E628" s="2"/>
      <c r="F628" s="2"/>
      <c r="G628" s="2"/>
    </row>
    <row r="629" spans="1:7" x14ac:dyDescent="0.3">
      <c r="A629" s="2" t="s">
        <v>676</v>
      </c>
      <c r="B629" s="2"/>
      <c r="C629" s="2"/>
      <c r="D629" s="2"/>
      <c r="E629" s="2"/>
      <c r="F629" s="2"/>
      <c r="G629" s="2"/>
    </row>
    <row r="630" spans="1:7" x14ac:dyDescent="0.3">
      <c r="A630" s="2"/>
      <c r="B630" s="2"/>
      <c r="C630" s="2"/>
      <c r="D630" s="2"/>
      <c r="E630" s="2"/>
      <c r="F630" s="2"/>
      <c r="G630" s="2"/>
    </row>
    <row r="631" spans="1:7" x14ac:dyDescent="0.3">
      <c r="A631" s="2" t="s">
        <v>678</v>
      </c>
      <c r="B631" s="2"/>
      <c r="C631" s="2"/>
      <c r="D631" s="2"/>
      <c r="E631" s="2"/>
      <c r="F631" s="2"/>
      <c r="G631" s="2"/>
    </row>
    <row r="632" spans="1:7" x14ac:dyDescent="0.3">
      <c r="A632" s="2"/>
      <c r="B632" s="2"/>
      <c r="C632" s="2"/>
      <c r="D632" s="2"/>
      <c r="E632" s="2"/>
      <c r="F632" s="2"/>
      <c r="G632" s="2"/>
    </row>
    <row r="633" spans="1:7" x14ac:dyDescent="0.3">
      <c r="A633" s="2" t="s">
        <v>677</v>
      </c>
      <c r="B633" s="2"/>
      <c r="C633" s="2"/>
      <c r="D633" s="2"/>
      <c r="E633" s="2"/>
      <c r="F633" s="2"/>
      <c r="G633" s="2"/>
    </row>
    <row r="634" spans="1:7" x14ac:dyDescent="0.3">
      <c r="A634" s="2"/>
      <c r="B634" s="2"/>
      <c r="C634" s="2"/>
      <c r="D634" s="2"/>
      <c r="E634" s="2"/>
      <c r="F634" s="2"/>
      <c r="G634" s="2"/>
    </row>
    <row r="635" spans="1:7" x14ac:dyDescent="0.3">
      <c r="A635" s="2" t="s">
        <v>679</v>
      </c>
      <c r="B635" s="2"/>
      <c r="C635" s="2"/>
      <c r="D635" s="2"/>
      <c r="E635" s="2"/>
      <c r="F635" s="2"/>
      <c r="G635" s="2"/>
    </row>
    <row r="636" spans="1:7" x14ac:dyDescent="0.3">
      <c r="A636" s="2" t="s">
        <v>680</v>
      </c>
      <c r="B636" s="2"/>
      <c r="C636" s="2"/>
      <c r="D636" s="2"/>
      <c r="E636" s="2"/>
      <c r="F636" s="2"/>
      <c r="G636" s="2"/>
    </row>
    <row r="637" spans="1:7" x14ac:dyDescent="0.3">
      <c r="A637" s="2" t="s">
        <v>681</v>
      </c>
      <c r="B637" s="2"/>
      <c r="C637" s="2"/>
      <c r="D637" s="2"/>
      <c r="E637" s="2"/>
      <c r="F637" s="2"/>
      <c r="G637" s="2"/>
    </row>
    <row r="638" spans="1:7" x14ac:dyDescent="0.3">
      <c r="A638" s="2" t="s">
        <v>682</v>
      </c>
      <c r="B638" s="2"/>
      <c r="C638" s="2"/>
      <c r="D638" s="2"/>
      <c r="E638" s="2"/>
      <c r="F638" s="2"/>
      <c r="G638" s="2"/>
    </row>
    <row r="639" spans="1:7" x14ac:dyDescent="0.3">
      <c r="A639" s="2" t="s">
        <v>683</v>
      </c>
      <c r="B639" s="2"/>
      <c r="C639" s="2"/>
      <c r="D639" s="2"/>
      <c r="E639" s="2"/>
      <c r="F639" s="2"/>
      <c r="G639" s="2"/>
    </row>
    <row r="640" spans="1:7" x14ac:dyDescent="0.3">
      <c r="A640" s="2"/>
      <c r="B640" s="2"/>
      <c r="C640" s="2"/>
      <c r="D640" s="2"/>
      <c r="E640" s="2"/>
      <c r="F640" s="2"/>
      <c r="G640" s="2"/>
    </row>
    <row r="641" spans="1:7" x14ac:dyDescent="0.3">
      <c r="A641" s="43" t="s">
        <v>684</v>
      </c>
      <c r="B641" s="43" t="s">
        <v>685</v>
      </c>
      <c r="C641" s="43" t="s">
        <v>686</v>
      </c>
      <c r="D641" s="43" t="s">
        <v>687</v>
      </c>
      <c r="E641" s="43" t="s">
        <v>688</v>
      </c>
      <c r="F641" s="2"/>
      <c r="G641" s="2"/>
    </row>
    <row r="642" spans="1:7" x14ac:dyDescent="0.3">
      <c r="A642" s="2" t="s">
        <v>689</v>
      </c>
      <c r="B642" s="2">
        <v>745</v>
      </c>
      <c r="C642" s="2">
        <v>82000</v>
      </c>
      <c r="D642" s="2">
        <v>15000</v>
      </c>
      <c r="E642" s="2" t="str">
        <f>IF(AND(B642&gt;700,C642&gt;50000),"Approve","Decline")</f>
        <v>Approve</v>
      </c>
      <c r="F642" s="2"/>
      <c r="G642" s="2"/>
    </row>
    <row r="643" spans="1:7" x14ac:dyDescent="0.3">
      <c r="A643" s="2" t="s">
        <v>535</v>
      </c>
      <c r="B643" s="2">
        <v>702</v>
      </c>
      <c r="C643" s="2">
        <v>51000</v>
      </c>
      <c r="D643" s="2">
        <v>12000</v>
      </c>
      <c r="E643" s="2" t="str">
        <f t="shared" ref="E643:E651" si="22">IF(AND(B643&gt;700,C643&gt;50000),"Approve","Decline")</f>
        <v>Approve</v>
      </c>
      <c r="F643" s="2"/>
      <c r="G643" s="2"/>
    </row>
    <row r="644" spans="1:7" x14ac:dyDescent="0.3">
      <c r="A644" s="2" t="s">
        <v>531</v>
      </c>
      <c r="B644" s="2">
        <v>701</v>
      </c>
      <c r="C644" s="2">
        <v>50000</v>
      </c>
      <c r="D644" s="2">
        <v>8000</v>
      </c>
      <c r="E644" s="2" t="str">
        <f t="shared" si="22"/>
        <v>Decline</v>
      </c>
      <c r="F644" s="2"/>
      <c r="G644" s="2"/>
    </row>
    <row r="645" spans="1:7" x14ac:dyDescent="0.3">
      <c r="A645" s="2" t="s">
        <v>690</v>
      </c>
      <c r="B645" s="2">
        <v>700</v>
      </c>
      <c r="C645" s="2">
        <v>65000</v>
      </c>
      <c r="D645" s="2">
        <v>20000</v>
      </c>
      <c r="E645" s="2" t="str">
        <f t="shared" si="22"/>
        <v>Decline</v>
      </c>
      <c r="F645" s="2"/>
      <c r="G645" s="2"/>
    </row>
    <row r="646" spans="1:7" x14ac:dyDescent="0.3">
      <c r="A646" s="2" t="s">
        <v>691</v>
      </c>
      <c r="B646" s="2">
        <v>680</v>
      </c>
      <c r="C646" s="2">
        <v>90000</v>
      </c>
      <c r="D646" s="2">
        <v>10000</v>
      </c>
      <c r="E646" s="2" t="str">
        <f t="shared" si="22"/>
        <v>Decline</v>
      </c>
      <c r="F646" s="2"/>
      <c r="G646" s="2"/>
    </row>
    <row r="647" spans="1:7" x14ac:dyDescent="0.3">
      <c r="A647" s="2" t="s">
        <v>692</v>
      </c>
      <c r="B647" s="2">
        <v>780</v>
      </c>
      <c r="C647" s="2">
        <v>48000</v>
      </c>
      <c r="D647" s="2">
        <v>5000</v>
      </c>
      <c r="E647" s="2" t="str">
        <f t="shared" si="22"/>
        <v>Decline</v>
      </c>
      <c r="F647" s="2"/>
      <c r="G647" s="2"/>
    </row>
    <row r="648" spans="1:7" x14ac:dyDescent="0.3">
      <c r="A648" s="2" t="s">
        <v>693</v>
      </c>
      <c r="B648" s="2">
        <v>720</v>
      </c>
      <c r="C648" s="2">
        <v>52000</v>
      </c>
      <c r="D648" s="2">
        <v>25000</v>
      </c>
      <c r="E648" s="2" t="str">
        <f t="shared" si="22"/>
        <v>Approve</v>
      </c>
      <c r="F648" s="2"/>
      <c r="G648" s="2"/>
    </row>
    <row r="649" spans="1:7" x14ac:dyDescent="0.3">
      <c r="A649" s="2" t="s">
        <v>694</v>
      </c>
      <c r="B649" s="2">
        <v>715</v>
      </c>
      <c r="C649" s="2">
        <v>50500</v>
      </c>
      <c r="D649" s="2">
        <v>18000</v>
      </c>
      <c r="E649" s="2" t="str">
        <f t="shared" si="22"/>
        <v>Approve</v>
      </c>
      <c r="F649" s="2"/>
      <c r="G649" s="2"/>
    </row>
    <row r="650" spans="1:7" s="2" customFormat="1" x14ac:dyDescent="0.3">
      <c r="A650" s="2" t="s">
        <v>695</v>
      </c>
      <c r="B650" s="2">
        <v>699</v>
      </c>
      <c r="C650" s="2">
        <v>51000</v>
      </c>
      <c r="D650" s="2">
        <v>7000</v>
      </c>
      <c r="E650" s="2" t="str">
        <f t="shared" si="22"/>
        <v>Decline</v>
      </c>
    </row>
    <row r="651" spans="1:7" s="2" customFormat="1" x14ac:dyDescent="0.3">
      <c r="A651" s="2" t="s">
        <v>696</v>
      </c>
      <c r="B651" s="2">
        <v>730</v>
      </c>
      <c r="C651" s="2">
        <v>50001</v>
      </c>
      <c r="D651" s="2">
        <v>16000</v>
      </c>
      <c r="E651" s="2" t="str">
        <f t="shared" si="22"/>
        <v>Approve</v>
      </c>
    </row>
    <row r="652" spans="1:7" s="2" customFormat="1" x14ac:dyDescent="0.3"/>
    <row r="653" spans="1:7" s="2" customFormat="1" ht="13.8" customHeight="1" x14ac:dyDescent="0.3">
      <c r="D653" s="2" t="str">
        <f ca="1">_xlfn.FORMULATEXT(E642)</f>
        <v>=IF(AND(B642&gt;700,C642&gt;50000),"Approve","Decline")</v>
      </c>
    </row>
    <row r="654" spans="1:7" s="2" customFormat="1" x14ac:dyDescent="0.3"/>
    <row r="655" spans="1:7" s="2" customFormat="1" x14ac:dyDescent="0.3">
      <c r="A655" s="28" t="s">
        <v>697</v>
      </c>
    </row>
    <row r="656" spans="1:7" s="2" customFormat="1" ht="96.6" x14ac:dyDescent="0.3">
      <c r="A656" s="2" t="s">
        <v>698</v>
      </c>
    </row>
    <row r="657" spans="1:4" s="2" customFormat="1" ht="207" x14ac:dyDescent="0.3">
      <c r="A657" s="2" t="s">
        <v>699</v>
      </c>
    </row>
    <row r="658" spans="1:4" s="2" customFormat="1" x14ac:dyDescent="0.3"/>
    <row r="659" spans="1:4" s="2" customFormat="1" x14ac:dyDescent="0.3">
      <c r="A659" s="9" t="s">
        <v>700</v>
      </c>
      <c r="B659" s="53">
        <v>45731</v>
      </c>
      <c r="C659" s="45"/>
      <c r="D659" s="45"/>
    </row>
    <row r="660" spans="1:4" s="2" customFormat="1" x14ac:dyDescent="0.3">
      <c r="A660" s="45"/>
      <c r="B660" s="45"/>
      <c r="C660" s="45"/>
      <c r="D660" s="45"/>
    </row>
    <row r="661" spans="1:4" s="2" customFormat="1" x14ac:dyDescent="0.3">
      <c r="A661" s="9" t="s">
        <v>701</v>
      </c>
      <c r="B661" s="9" t="s">
        <v>702</v>
      </c>
      <c r="C661" s="9" t="s">
        <v>307</v>
      </c>
      <c r="D661" s="54" t="s">
        <v>703</v>
      </c>
    </row>
    <row r="662" spans="1:4" s="2" customFormat="1" x14ac:dyDescent="0.3">
      <c r="A662" s="45" t="s">
        <v>704</v>
      </c>
      <c r="B662" s="16">
        <v>45716</v>
      </c>
      <c r="C662" s="45" t="s">
        <v>705</v>
      </c>
      <c r="D662" s="4" t="str">
        <f>IF(NOT(C662="Paid"),"Overdue","")</f>
        <v>Overdue</v>
      </c>
    </row>
    <row r="663" spans="1:4" s="2" customFormat="1" x14ac:dyDescent="0.3">
      <c r="A663" s="45" t="s">
        <v>706</v>
      </c>
      <c r="B663" s="16">
        <v>45688</v>
      </c>
      <c r="C663" s="45" t="s">
        <v>707</v>
      </c>
      <c r="D663" s="4" t="str">
        <f t="shared" ref="D663:D667" si="23">IF(NOT(C663="Paid"),"Overdue","")</f>
        <v/>
      </c>
    </row>
    <row r="664" spans="1:4" s="2" customFormat="1" x14ac:dyDescent="0.3">
      <c r="A664" s="45" t="s">
        <v>708</v>
      </c>
      <c r="B664" s="16">
        <v>45726</v>
      </c>
      <c r="C664" s="45" t="s">
        <v>709</v>
      </c>
      <c r="D664" s="4" t="str">
        <f t="shared" si="23"/>
        <v>Overdue</v>
      </c>
    </row>
    <row r="665" spans="1:4" s="2" customFormat="1" x14ac:dyDescent="0.3">
      <c r="A665" s="45" t="s">
        <v>710</v>
      </c>
      <c r="B665" s="16">
        <v>45703</v>
      </c>
      <c r="C665" s="45" t="s">
        <v>711</v>
      </c>
      <c r="D665" s="4" t="str">
        <f t="shared" si="23"/>
        <v>Overdue</v>
      </c>
    </row>
    <row r="666" spans="1:4" s="2" customFormat="1" x14ac:dyDescent="0.3">
      <c r="A666" s="45" t="s">
        <v>712</v>
      </c>
      <c r="B666" s="16">
        <v>45717</v>
      </c>
      <c r="C666" s="45" t="s">
        <v>713</v>
      </c>
      <c r="D666" s="4" t="str">
        <f t="shared" si="23"/>
        <v>Overdue</v>
      </c>
    </row>
    <row r="667" spans="1:4" s="2" customFormat="1" x14ac:dyDescent="0.3">
      <c r="A667" s="45" t="s">
        <v>714</v>
      </c>
      <c r="B667" s="16">
        <v>45698</v>
      </c>
      <c r="C667" s="45" t="s">
        <v>707</v>
      </c>
      <c r="D667" s="4" t="str">
        <f t="shared" si="23"/>
        <v/>
      </c>
    </row>
    <row r="668" spans="1:4" s="2" customFormat="1" x14ac:dyDescent="0.3"/>
    <row r="669" spans="1:4" s="2" customFormat="1" x14ac:dyDescent="0.3">
      <c r="C669" s="50" t="str">
        <f ca="1">_xlfn.FORMULATEXT(D662)</f>
        <v>=IF(NOT(C662="Paid"),"Overdue","")</v>
      </c>
      <c r="D669" s="50"/>
    </row>
    <row r="670" spans="1:4" s="2" customFormat="1" x14ac:dyDescent="0.3"/>
    <row r="671" spans="1:4" s="2" customFormat="1" x14ac:dyDescent="0.3">
      <c r="A671" s="28" t="s">
        <v>715</v>
      </c>
    </row>
    <row r="672" spans="1:4" s="2" customFormat="1" ht="138" x14ac:dyDescent="0.3">
      <c r="A672" s="2" t="s">
        <v>716</v>
      </c>
    </row>
    <row r="673" spans="1:5" s="2" customFormat="1" x14ac:dyDescent="0.3"/>
    <row r="674" spans="1:5" s="2" customFormat="1" x14ac:dyDescent="0.3">
      <c r="A674" s="6" t="s">
        <v>717</v>
      </c>
      <c r="B674" s="6" t="s">
        <v>220</v>
      </c>
      <c r="C674" s="6" t="s">
        <v>718</v>
      </c>
      <c r="D674" s="55" t="s">
        <v>719</v>
      </c>
      <c r="E674" s="55" t="s">
        <v>720</v>
      </c>
    </row>
    <row r="675" spans="1:5" s="2" customFormat="1" x14ac:dyDescent="0.3">
      <c r="A675" s="45" t="s">
        <v>524</v>
      </c>
      <c r="B675" s="45">
        <v>96</v>
      </c>
      <c r="C675" s="4" t="str">
        <f>IF(B675&gt;=90,"A",IF(B675&gt;=80,"B",IF(B675&gt;=70,"C",IF(B675&gt;=60,"D","F"))))</f>
        <v>A</v>
      </c>
      <c r="D675" s="45" t="s">
        <v>721</v>
      </c>
      <c r="E675" s="45">
        <v>90</v>
      </c>
    </row>
    <row r="676" spans="1:5" s="2" customFormat="1" x14ac:dyDescent="0.3">
      <c r="A676" s="45" t="s">
        <v>530</v>
      </c>
      <c r="B676" s="45">
        <v>88</v>
      </c>
      <c r="C676" s="4" t="str">
        <f t="shared" ref="C676:C682" si="24">IF(B676&gt;=90,"A",IF(B676&gt;=80,"B",IF(B676&gt;=70,"C",IF(B676&gt;=60,"D","F"))))</f>
        <v>B</v>
      </c>
      <c r="D676" s="45" t="s">
        <v>722</v>
      </c>
      <c r="E676" s="45">
        <v>80</v>
      </c>
    </row>
    <row r="677" spans="1:5" s="2" customFormat="1" x14ac:dyDescent="0.3">
      <c r="A677" s="45" t="s">
        <v>640</v>
      </c>
      <c r="B677" s="45">
        <v>73</v>
      </c>
      <c r="C677" s="4" t="str">
        <f t="shared" si="24"/>
        <v>C</v>
      </c>
      <c r="D677" s="45" t="s">
        <v>723</v>
      </c>
      <c r="E677" s="45">
        <v>70</v>
      </c>
    </row>
    <row r="678" spans="1:5" s="2" customFormat="1" x14ac:dyDescent="0.3">
      <c r="A678" s="45" t="s">
        <v>120</v>
      </c>
      <c r="B678" s="45">
        <v>67</v>
      </c>
      <c r="C678" s="4" t="str">
        <f t="shared" si="24"/>
        <v>D</v>
      </c>
      <c r="D678" s="45" t="s">
        <v>724</v>
      </c>
      <c r="E678" s="45">
        <v>60</v>
      </c>
    </row>
    <row r="679" spans="1:5" s="2" customFormat="1" x14ac:dyDescent="0.3">
      <c r="A679" s="45" t="s">
        <v>646</v>
      </c>
      <c r="B679" s="45">
        <v>59</v>
      </c>
      <c r="C679" s="4" t="str">
        <f t="shared" si="24"/>
        <v>F</v>
      </c>
      <c r="D679" s="45" t="s">
        <v>725</v>
      </c>
      <c r="E679" s="45">
        <v>0</v>
      </c>
    </row>
    <row r="680" spans="1:5" s="2" customFormat="1" x14ac:dyDescent="0.3">
      <c r="A680" s="45" t="s">
        <v>531</v>
      </c>
      <c r="B680" s="45">
        <v>80</v>
      </c>
      <c r="C680" s="4" t="str">
        <f t="shared" si="24"/>
        <v>B</v>
      </c>
      <c r="D680" s="45"/>
      <c r="E680" s="45"/>
    </row>
    <row r="681" spans="1:5" s="2" customFormat="1" x14ac:dyDescent="0.3">
      <c r="A681" s="45" t="s">
        <v>631</v>
      </c>
      <c r="B681" s="45">
        <v>90</v>
      </c>
      <c r="C681" s="4" t="str">
        <f t="shared" si="24"/>
        <v>A</v>
      </c>
      <c r="D681" s="45"/>
      <c r="E681" s="45"/>
    </row>
    <row r="682" spans="1:5" s="2" customFormat="1" x14ac:dyDescent="0.3">
      <c r="A682" s="45" t="s">
        <v>726</v>
      </c>
      <c r="B682" s="45">
        <v>70</v>
      </c>
      <c r="C682" s="4" t="str">
        <f t="shared" si="24"/>
        <v>C</v>
      </c>
      <c r="D682" s="45"/>
      <c r="E682" s="45"/>
    </row>
    <row r="683" spans="1:5" s="2" customFormat="1" x14ac:dyDescent="0.3"/>
    <row r="684" spans="1:5" s="2" customFormat="1" ht="14.4" customHeight="1" x14ac:dyDescent="0.3">
      <c r="B684" s="50" t="str">
        <f ca="1">_xlfn.FORMULATEXT(C675)</f>
        <v>=IF(B675&gt;=90,"A",IF(B675&gt;=80,"B",IF(B675&gt;=70,"C",IF(B675&gt;=60,"D","F"))))</v>
      </c>
      <c r="C684" s="50"/>
    </row>
    <row r="685" spans="1:5" s="2" customFormat="1" x14ac:dyDescent="0.3">
      <c r="A685" s="56" t="s">
        <v>728</v>
      </c>
      <c r="B685" s="50" t="s">
        <v>727</v>
      </c>
      <c r="C685" s="50"/>
    </row>
    <row r="686" spans="1:5" s="2" customFormat="1" x14ac:dyDescent="0.3"/>
    <row r="687" spans="1:5" s="2" customFormat="1" x14ac:dyDescent="0.3">
      <c r="A687" s="28" t="s">
        <v>729</v>
      </c>
    </row>
    <row r="688" spans="1:5" s="2" customFormat="1" ht="124.2" x14ac:dyDescent="0.3">
      <c r="A688" s="45" t="s">
        <v>730</v>
      </c>
    </row>
    <row r="689" spans="1:6" s="2" customFormat="1" x14ac:dyDescent="0.3">
      <c r="A689" s="45"/>
    </row>
    <row r="690" spans="1:6" s="2" customFormat="1" x14ac:dyDescent="0.3">
      <c r="A690" s="6" t="s">
        <v>305</v>
      </c>
      <c r="B690" s="6" t="s">
        <v>731</v>
      </c>
      <c r="C690" s="6" t="s">
        <v>732</v>
      </c>
      <c r="D690" s="55" t="s">
        <v>667</v>
      </c>
      <c r="E690" s="55" t="s">
        <v>733</v>
      </c>
      <c r="F690" s="55" t="s">
        <v>734</v>
      </c>
    </row>
    <row r="691" spans="1:6" s="2" customFormat="1" x14ac:dyDescent="0.3">
      <c r="A691" s="45" t="s">
        <v>117</v>
      </c>
      <c r="B691" s="45">
        <v>8200</v>
      </c>
      <c r="C691" s="4">
        <f>IF(B691&gt;=$E$691,B691*$F$691,IF(B691&gt;=$E$692,B691*$F$692,B691*$F$693))</f>
        <v>246</v>
      </c>
      <c r="D691" s="45" t="s">
        <v>735</v>
      </c>
      <c r="E691" s="45">
        <v>25000</v>
      </c>
      <c r="F691" s="45">
        <v>7.0000000000000007E-2</v>
      </c>
    </row>
    <row r="692" spans="1:6" s="2" customFormat="1" x14ac:dyDescent="0.3">
      <c r="A692" s="45" t="s">
        <v>736</v>
      </c>
      <c r="B692" s="45">
        <v>12000</v>
      </c>
      <c r="C692" s="4">
        <f t="shared" ref="C692:C698" si="25">IF(B692&gt;=$E$691,B692*$F$691,IF(B692&gt;=$E$692,B692*$F$692,B692*$F$693))</f>
        <v>600</v>
      </c>
      <c r="D692" s="45" t="s">
        <v>737</v>
      </c>
      <c r="E692" s="45">
        <v>10000</v>
      </c>
      <c r="F692" s="45">
        <v>0.05</v>
      </c>
    </row>
    <row r="693" spans="1:6" s="2" customFormat="1" x14ac:dyDescent="0.3">
      <c r="A693" s="45" t="s">
        <v>738</v>
      </c>
      <c r="B693" s="45">
        <v>25750</v>
      </c>
      <c r="C693" s="4">
        <f t="shared" si="25"/>
        <v>1802.5000000000002</v>
      </c>
      <c r="D693" s="45" t="s">
        <v>739</v>
      </c>
      <c r="E693" s="45">
        <v>0</v>
      </c>
      <c r="F693" s="45">
        <v>0.03</v>
      </c>
    </row>
    <row r="694" spans="1:6" s="2" customFormat="1" x14ac:dyDescent="0.3">
      <c r="A694" s="45" t="s">
        <v>740</v>
      </c>
      <c r="B694" s="45">
        <v>18150</v>
      </c>
      <c r="C694" s="4">
        <f t="shared" si="25"/>
        <v>907.5</v>
      </c>
      <c r="D694" s="45"/>
      <c r="E694" s="45"/>
      <c r="F694" s="45"/>
    </row>
    <row r="695" spans="1:6" s="2" customFormat="1" x14ac:dyDescent="0.3">
      <c r="A695" s="45" t="s">
        <v>741</v>
      </c>
      <c r="B695" s="45">
        <v>9500</v>
      </c>
      <c r="C695" s="4">
        <f t="shared" si="25"/>
        <v>285</v>
      </c>
      <c r="D695" s="45"/>
      <c r="E695" s="45"/>
      <c r="F695" s="45"/>
    </row>
    <row r="696" spans="1:6" s="2" customFormat="1" x14ac:dyDescent="0.3">
      <c r="A696" s="45" t="s">
        <v>742</v>
      </c>
      <c r="B696" s="45">
        <v>30500</v>
      </c>
      <c r="C696" s="4">
        <f t="shared" si="25"/>
        <v>2135</v>
      </c>
      <c r="D696" s="45"/>
      <c r="E696" s="45"/>
      <c r="F696" s="45"/>
    </row>
    <row r="697" spans="1:6" s="2" customFormat="1" x14ac:dyDescent="0.3">
      <c r="A697" s="45" t="s">
        <v>743</v>
      </c>
      <c r="B697" s="45">
        <v>24000</v>
      </c>
      <c r="C697" s="4">
        <f t="shared" si="25"/>
        <v>1200</v>
      </c>
      <c r="D697" s="45"/>
      <c r="E697" s="45"/>
      <c r="F697" s="45"/>
    </row>
    <row r="698" spans="1:6" s="2" customFormat="1" x14ac:dyDescent="0.3">
      <c r="A698" s="45" t="s">
        <v>744</v>
      </c>
      <c r="B698" s="45">
        <v>10000</v>
      </c>
      <c r="C698" s="4">
        <f t="shared" si="25"/>
        <v>500</v>
      </c>
      <c r="D698" s="45"/>
      <c r="E698" s="45"/>
      <c r="F698" s="45"/>
    </row>
    <row r="699" spans="1:6" s="2" customFormat="1" x14ac:dyDescent="0.3">
      <c r="A699" s="45"/>
      <c r="B699" s="45"/>
      <c r="C699" s="45"/>
      <c r="D699" s="45"/>
      <c r="E699" s="45"/>
      <c r="F699" s="45"/>
    </row>
    <row r="700" spans="1:6" s="2" customFormat="1" x14ac:dyDescent="0.3">
      <c r="A700" s="57" t="s">
        <v>745</v>
      </c>
      <c r="B700" s="58" t="s">
        <v>746</v>
      </c>
      <c r="C700" s="58"/>
      <c r="D700" s="45"/>
      <c r="E700" s="45"/>
      <c r="F700" s="45"/>
    </row>
    <row r="701" spans="1:6" s="2" customFormat="1" x14ac:dyDescent="0.3"/>
    <row r="702" spans="1:6" s="2" customFormat="1" x14ac:dyDescent="0.3">
      <c r="B702" s="50" t="str">
        <f ca="1">_xlfn.FORMULATEXT(C691)</f>
        <v>=IF(B691&gt;=$E$691,B691*$F$691,IF(B691&gt;=$E$692,B691*$F$692,B691*$F$693))</v>
      </c>
      <c r="C702" s="50"/>
    </row>
    <row r="703" spans="1:6" s="2" customFormat="1" x14ac:dyDescent="0.3"/>
    <row r="704" spans="1:6" s="2" customFormat="1" x14ac:dyDescent="0.3"/>
    <row r="705" s="2" customFormat="1" x14ac:dyDescent="0.3"/>
    <row r="706" s="2" customFormat="1" x14ac:dyDescent="0.3"/>
    <row r="707" s="2" customFormat="1" x14ac:dyDescent="0.3"/>
    <row r="708" s="2" customFormat="1" x14ac:dyDescent="0.3"/>
    <row r="709" s="2" customFormat="1" x14ac:dyDescent="0.3"/>
    <row r="710" s="2" customFormat="1" x14ac:dyDescent="0.3"/>
    <row r="711" s="2" customFormat="1" x14ac:dyDescent="0.3"/>
    <row r="712" s="2" customFormat="1" x14ac:dyDescent="0.3"/>
    <row r="713" s="2" customFormat="1" x14ac:dyDescent="0.3"/>
    <row r="714" s="2" customFormat="1" x14ac:dyDescent="0.3"/>
    <row r="715" s="2" customFormat="1" x14ac:dyDescent="0.3"/>
    <row r="716" s="2" customFormat="1" x14ac:dyDescent="0.3"/>
    <row r="717" s="2" customFormat="1" x14ac:dyDescent="0.3"/>
    <row r="718" s="2" customFormat="1" x14ac:dyDescent="0.3"/>
    <row r="719" s="2" customFormat="1" x14ac:dyDescent="0.3"/>
    <row r="720" s="2" customFormat="1" x14ac:dyDescent="0.3"/>
    <row r="721" spans="1:7" s="2" customFormat="1" x14ac:dyDescent="0.3"/>
    <row r="722" spans="1:7" s="2" customFormat="1" x14ac:dyDescent="0.3"/>
    <row r="723" spans="1:7" s="2" customFormat="1" x14ac:dyDescent="0.3"/>
    <row r="724" spans="1:7" s="2" customFormat="1" x14ac:dyDescent="0.3"/>
    <row r="725" spans="1:7" s="2" customFormat="1" x14ac:dyDescent="0.3"/>
    <row r="726" spans="1:7" s="2" customFormat="1" x14ac:dyDescent="0.3"/>
    <row r="727" spans="1:7" s="2" customFormat="1" x14ac:dyDescent="0.3"/>
    <row r="728" spans="1:7" s="2" customFormat="1" x14ac:dyDescent="0.3"/>
    <row r="729" spans="1:7" s="2" customFormat="1" x14ac:dyDescent="0.3"/>
    <row r="730" spans="1:7" x14ac:dyDescent="0.3">
      <c r="A730" s="2"/>
      <c r="B730" s="2"/>
      <c r="C730" s="2"/>
      <c r="D730" s="2"/>
      <c r="E730" s="2"/>
      <c r="F730" s="2"/>
      <c r="G730" s="2"/>
    </row>
    <row r="731" spans="1:7" x14ac:dyDescent="0.3">
      <c r="A731" s="2"/>
      <c r="B731" s="2"/>
      <c r="C731" s="2"/>
      <c r="D731" s="2"/>
      <c r="E731" s="2"/>
      <c r="F731" s="2"/>
      <c r="G731" s="2"/>
    </row>
    <row r="732" spans="1:7" x14ac:dyDescent="0.3">
      <c r="A732" s="2"/>
      <c r="B732" s="2"/>
      <c r="C732" s="2"/>
      <c r="D732" s="2"/>
      <c r="E732" s="2"/>
      <c r="F732" s="2"/>
      <c r="G732" s="2"/>
    </row>
    <row r="733" spans="1:7" x14ac:dyDescent="0.3">
      <c r="A733" s="2"/>
      <c r="B733" s="2"/>
      <c r="C733" s="2"/>
      <c r="D733" s="2"/>
      <c r="E733" s="2"/>
      <c r="F733" s="2"/>
      <c r="G733" s="2"/>
    </row>
    <row r="734" spans="1:7" x14ac:dyDescent="0.3">
      <c r="A734" s="2"/>
      <c r="B734" s="2"/>
      <c r="C734" s="2"/>
      <c r="D734" s="2"/>
      <c r="E734" s="2"/>
      <c r="F734" s="2"/>
      <c r="G734" s="2"/>
    </row>
    <row r="735" spans="1:7" x14ac:dyDescent="0.3">
      <c r="A735" s="2"/>
      <c r="B735" s="2"/>
      <c r="C735" s="2"/>
      <c r="D735" s="2"/>
      <c r="E735" s="2"/>
      <c r="F735" s="2"/>
      <c r="G735" s="2"/>
    </row>
    <row r="736" spans="1:7" x14ac:dyDescent="0.3">
      <c r="A736" s="2"/>
      <c r="B736" s="2"/>
      <c r="C736" s="2"/>
      <c r="D736" s="2"/>
      <c r="E736" s="2"/>
      <c r="F736" s="2"/>
      <c r="G736" s="2"/>
    </row>
    <row r="737" spans="1:7" x14ac:dyDescent="0.3">
      <c r="A737" s="2"/>
      <c r="B737" s="2"/>
      <c r="C737" s="2"/>
      <c r="D737" s="2"/>
      <c r="E737" s="2"/>
      <c r="F737" s="2"/>
      <c r="G737" s="2"/>
    </row>
    <row r="738" spans="1:7" x14ac:dyDescent="0.3">
      <c r="A738" s="2"/>
      <c r="B738" s="2"/>
      <c r="C738" s="2"/>
      <c r="D738" s="2"/>
      <c r="E738" s="2"/>
      <c r="F738" s="2"/>
      <c r="G738" s="2"/>
    </row>
    <row r="739" spans="1:7" x14ac:dyDescent="0.3">
      <c r="A739" s="2"/>
      <c r="B739" s="2"/>
      <c r="C739" s="2"/>
      <c r="D739" s="2"/>
      <c r="E739" s="2"/>
      <c r="F739" s="2"/>
      <c r="G739" s="2"/>
    </row>
  </sheetData>
  <mergeCells count="14">
    <mergeCell ref="C669:D669"/>
    <mergeCell ref="B684:C684"/>
    <mergeCell ref="B685:C685"/>
    <mergeCell ref="B700:C700"/>
    <mergeCell ref="B702:C702"/>
    <mergeCell ref="C236:C237"/>
    <mergeCell ref="B256:C256"/>
    <mergeCell ref="C359:C360"/>
    <mergeCell ref="C476:E476"/>
    <mergeCell ref="C477:E477"/>
    <mergeCell ref="E627:F627"/>
    <mergeCell ref="B572:B574"/>
    <mergeCell ref="B550:B552"/>
    <mergeCell ref="B500:C5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Thakur</dc:creator>
  <cp:lastModifiedBy>Shiva Thakur</cp:lastModifiedBy>
  <dcterms:created xsi:type="dcterms:W3CDTF">2015-06-05T18:17:20Z</dcterms:created>
  <dcterms:modified xsi:type="dcterms:W3CDTF">2026-06-25T18:53:06Z</dcterms:modified>
</cp:coreProperties>
</file>