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37" documentId="11_F25DC773A252ABDACC1048BD89DC52D45ADE58EF" xr6:coauthVersionLast="47" xr6:coauthVersionMax="47" xr10:uidLastSave="{A4577899-D48A-43D9-BA44-7128DFB3DB1D}"/>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25" i="1" l="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427" i="1"/>
  <c r="B411" i="1"/>
  <c r="D385" i="1"/>
  <c r="B256" i="1"/>
  <c r="C343" i="1"/>
  <c r="C359" i="1"/>
  <c r="D269" i="1"/>
  <c r="D283" i="1"/>
  <c r="E204" i="1"/>
  <c r="G315" i="1"/>
  <c r="C236" i="1"/>
  <c r="E295" i="1"/>
  <c r="D299" i="1" l="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<sst xmlns="http://schemas.openxmlformats.org/spreadsheetml/2006/main" count="557" uniqueCount="453">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</sst>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6"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
      <b/>
      <sz val="10"/>
      <color theme="1"/>
      <name val="Arial"/>
      <family val="2"/>
    </font>
    <font>
      <sz val="10"/>
      <color theme="1"/>
      <name val="Arial"/>
      <family val="2"/>
    </font>
  </fonts>
  <fills count="13">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s>
  <borders count="1">
    <border>
      <left/>
      <right/>
      <top/>
      <bottom/>
      <diagonal/>
    </border>
  </borders>
  <cellStyleXfs count="1">
    <xf numFmtId="0" fontId="0" fillId="0" borderId="0"/>
  </cellStyleXfs>
  <cellXfs count="39">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5" fillId="0" borderId="0" xfId="0" applyFont="1" applyAlignment="1">
      <alignment vertical="center" wrapText="1"/>
    </xf>
    <xf numFmtId="0" fontId="4" fillId="3"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27"/>
  <sheetViews>
    <sheetView tabSelected="1" topLeftCell="A400" workbookViewId="0">
      <selection activeCell="A425" sqref="A425"/>
    </sheetView>
  </sheetViews>
  <sheetFormatPr defaultRowHeight="13.8" x14ac:dyDescent="0.3"/>
  <cols>
    <col min="1" max="1" width="149.88671875" style="1" bestFit="1" customWidth="1"/>
    <col min="2" max="2" width="30.109375" style="1" customWidth="1"/>
    <col min="3"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35" t="str">
        <f ca="1">_xlfn.FORMULATEXT(B236)</f>
        <v>=XLOOKUP(B235,A227:A233,C227:C233,0)</v>
      </c>
    </row>
    <row r="237" spans="1:3" x14ac:dyDescent="0.3">
      <c r="C237" s="35"/>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36" t="str">
        <f ca="1">_xlfn.FORMULATEXT(C251)</f>
        <v>=XLOOKUP(A251,A$242:A$248,$C$242:$C$248,0)</v>
      </c>
      <c r="C256" s="36"/>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35" t="str">
        <f ca="1">_xlfn.FORMULATEXT(C358)</f>
        <v>=HLOOKUP(B358,A355:E356,2,0)</v>
      </c>
      <c r="D359" s="4"/>
      <c r="E359" s="4"/>
    </row>
    <row r="360" spans="1:5" x14ac:dyDescent="0.3">
      <c r="C360" s="35"/>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3" t="s">
        <v>379</v>
      </c>
      <c r="B376" s="4"/>
      <c r="C376" s="4"/>
      <c r="D376" s="4"/>
      <c r="E376" s="4"/>
      <c r="F376" s="4"/>
      <c r="G376" s="4"/>
      <c r="H376" s="4"/>
    </row>
    <row r="377" spans="1:8" x14ac:dyDescent="0.3">
      <c r="A377" s="34" t="s">
        <v>380</v>
      </c>
      <c r="B377" s="4"/>
      <c r="C377" s="4"/>
      <c r="E377" s="4"/>
      <c r="F377" s="4"/>
      <c r="G377" s="34"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1:4" x14ac:dyDescent="0.3">
      <c r="D385" s="1" t="str">
        <f ca="1">_xlfn.FORMULATEXT(D379)</f>
        <v>=VLOOKUP(C379,G379:H383,2,1)</v>
      </c>
    </row>
    <row r="387" spans="1:4" x14ac:dyDescent="0.3">
      <c r="A387" s="29" t="s">
        <v>401</v>
      </c>
    </row>
    <row r="388" spans="1:4" x14ac:dyDescent="0.3">
      <c r="A388" s="1" t="s">
        <v>353</v>
      </c>
    </row>
    <row r="389" spans="1:4" x14ac:dyDescent="0.3">
      <c r="A389" s="31" t="s">
        <v>431</v>
      </c>
    </row>
    <row r="390" spans="1:4" x14ac:dyDescent="0.3">
      <c r="A390" s="31" t="s">
        <v>432</v>
      </c>
    </row>
    <row r="391" spans="1:4" x14ac:dyDescent="0.3">
      <c r="A391" s="31" t="s">
        <v>433</v>
      </c>
    </row>
    <row r="392" spans="1:4" x14ac:dyDescent="0.3">
      <c r="A392" s="31" t="s">
        <v>434</v>
      </c>
    </row>
    <row r="394" spans="1:4" x14ac:dyDescent="0.3">
      <c r="A394" s="4" t="s">
        <v>435</v>
      </c>
    </row>
    <row r="395" spans="1:4" x14ac:dyDescent="0.3">
      <c r="A395" s="31"/>
    </row>
    <row r="396" spans="1:4" x14ac:dyDescent="0.3">
      <c r="A396" s="31" t="s">
        <v>436</v>
      </c>
    </row>
    <row r="397" spans="1:4" x14ac:dyDescent="0.3">
      <c r="A397" s="31" t="s">
        <v>437</v>
      </c>
    </row>
    <row r="398" spans="1:4" x14ac:dyDescent="0.3">
      <c r="A398" s="31" t="s">
        <v>402</v>
      </c>
    </row>
    <row r="399" spans="1:4" x14ac:dyDescent="0.3">
      <c r="A399" s="31" t="s">
        <v>438</v>
      </c>
    </row>
    <row r="401" spans="1:4" x14ac:dyDescent="0.3">
      <c r="A401" s="10" t="s">
        <v>403</v>
      </c>
      <c r="B401" s="10" t="s">
        <v>404</v>
      </c>
      <c r="C401" s="10" t="s">
        <v>405</v>
      </c>
      <c r="D401" s="10" t="s">
        <v>406</v>
      </c>
    </row>
    <row r="402" spans="1:4" x14ac:dyDescent="0.3">
      <c r="A402" s="4" t="s">
        <v>407</v>
      </c>
      <c r="B402" s="4" t="s">
        <v>408</v>
      </c>
      <c r="C402" s="4" t="s">
        <v>409</v>
      </c>
      <c r="D402" s="4" t="s">
        <v>410</v>
      </c>
    </row>
    <row r="403" spans="1:4" x14ac:dyDescent="0.3">
      <c r="A403" s="4" t="s">
        <v>411</v>
      </c>
      <c r="B403" s="4" t="s">
        <v>412</v>
      </c>
      <c r="C403" s="4" t="s">
        <v>413</v>
      </c>
      <c r="D403" s="4" t="s">
        <v>414</v>
      </c>
    </row>
    <row r="404" spans="1:4" x14ac:dyDescent="0.3">
      <c r="A404" s="4" t="s">
        <v>415</v>
      </c>
      <c r="B404" s="4" t="s">
        <v>416</v>
      </c>
      <c r="C404" s="4" t="s">
        <v>417</v>
      </c>
      <c r="D404" s="4" t="s">
        <v>418</v>
      </c>
    </row>
    <row r="405" spans="1:4" x14ac:dyDescent="0.3">
      <c r="A405" s="4" t="s">
        <v>419</v>
      </c>
      <c r="B405" s="4" t="s">
        <v>420</v>
      </c>
      <c r="C405" s="4" t="s">
        <v>421</v>
      </c>
      <c r="D405" s="4" t="s">
        <v>422</v>
      </c>
    </row>
    <row r="406" spans="1:4" x14ac:dyDescent="0.3">
      <c r="A406" s="4" t="s">
        <v>423</v>
      </c>
      <c r="B406" s="4" t="s">
        <v>424</v>
      </c>
      <c r="C406" s="4" t="s">
        <v>425</v>
      </c>
      <c r="D406" s="4" t="s">
        <v>426</v>
      </c>
    </row>
    <row r="407" spans="1:4" x14ac:dyDescent="0.3">
      <c r="A407" s="4" t="s">
        <v>427</v>
      </c>
      <c r="B407" s="4" t="s">
        <v>428</v>
      </c>
      <c r="C407" s="4" t="s">
        <v>429</v>
      </c>
      <c r="D407" s="4" t="s">
        <v>430</v>
      </c>
    </row>
    <row r="408" spans="1:4" x14ac:dyDescent="0.3">
      <c r="A408" s="4"/>
      <c r="B408" s="4"/>
      <c r="C408" s="4"/>
      <c r="D408" s="4"/>
    </row>
    <row r="409" spans="1:4" x14ac:dyDescent="0.3">
      <c r="A409" s="4" t="s">
        <v>403</v>
      </c>
      <c r="B409" s="4" t="s">
        <v>419</v>
      </c>
      <c r="C409" s="4"/>
      <c r="D409" s="4"/>
    </row>
    <row r="410" spans="1:4" x14ac:dyDescent="0.3">
      <c r="A410" s="4" t="s">
        <v>405</v>
      </c>
      <c r="B410" s="5" t="str">
        <f>VLOOKUP(B409,A402:C407,3,0)</f>
        <v>Denver</v>
      </c>
      <c r="C410" s="4"/>
      <c r="D410" s="4"/>
    </row>
    <row r="411" spans="1:4" x14ac:dyDescent="0.3">
      <c r="B411" s="1" t="str">
        <f ca="1">_xlfn.FORMULATEXT(B410)</f>
        <v>=VLOOKUP(B409,A402:C407,3,0)</v>
      </c>
    </row>
    <row r="413" spans="1:4" x14ac:dyDescent="0.3">
      <c r="A413" s="29" t="s">
        <v>439</v>
      </c>
    </row>
    <row r="414" spans="1:4" ht="69" x14ac:dyDescent="0.3">
      <c r="A414" s="2" t="s">
        <v>440</v>
      </c>
    </row>
    <row r="416" spans="1:4" ht="69" x14ac:dyDescent="0.3">
      <c r="A416" s="2" t="s">
        <v>440</v>
      </c>
    </row>
    <row r="418" spans="1:4" x14ac:dyDescent="0.3">
      <c r="A418" s="38" t="s">
        <v>202</v>
      </c>
      <c r="B418" s="38" t="s">
        <v>46</v>
      </c>
      <c r="C418" s="38" t="s">
        <v>47</v>
      </c>
      <c r="D418" s="38" t="s">
        <v>441</v>
      </c>
    </row>
    <row r="419" spans="1:4" x14ac:dyDescent="0.3">
      <c r="A419" s="37" t="s">
        <v>442</v>
      </c>
      <c r="B419" s="37" t="s">
        <v>443</v>
      </c>
      <c r="C419" s="37" t="s">
        <v>444</v>
      </c>
      <c r="D419" s="37">
        <v>12</v>
      </c>
    </row>
    <row r="420" spans="1:4" x14ac:dyDescent="0.3">
      <c r="A420" s="37" t="s">
        <v>445</v>
      </c>
      <c r="B420" s="37" t="s">
        <v>446</v>
      </c>
      <c r="C420" s="37" t="s">
        <v>447</v>
      </c>
      <c r="D420" s="37">
        <v>18</v>
      </c>
    </row>
    <row r="421" spans="1:4" x14ac:dyDescent="0.3">
      <c r="A421" s="37" t="s">
        <v>448</v>
      </c>
      <c r="B421" s="37" t="s">
        <v>449</v>
      </c>
      <c r="C421" s="37" t="s">
        <v>106</v>
      </c>
      <c r="D421" s="37">
        <v>24</v>
      </c>
    </row>
    <row r="422" spans="1:4" x14ac:dyDescent="0.3">
      <c r="A422" s="37" t="s">
        <v>450</v>
      </c>
      <c r="B422" s="37" t="s">
        <v>60</v>
      </c>
      <c r="C422" s="37" t="s">
        <v>447</v>
      </c>
      <c r="D422" s="37">
        <v>35</v>
      </c>
    </row>
    <row r="424" spans="1:4" x14ac:dyDescent="0.3">
      <c r="B424" s="1" t="s">
        <v>451</v>
      </c>
      <c r="C424" s="1" t="s">
        <v>446</v>
      </c>
    </row>
    <row r="425" spans="1:4" x14ac:dyDescent="0.3">
      <c r="B425" s="1" t="s">
        <v>452</v>
      </c>
      <c r="C425" s="1" t="str">
        <f>_xlfn.XLOOKUP(C424,B419:B422,A419:A422,"Not Found")</f>
        <v>SK-200</v>
      </c>
    </row>
    <row r="427" spans="1:4" x14ac:dyDescent="0.3">
      <c r="C427" s="1" t="str">
        <f ca="1">_xlfn.FORMULATEXT(C425)</f>
        <v>=XLOOKUP(C424,B419:B422,A419:A422,"Not Found")</v>
      </c>
    </row>
  </sheetData>
  <mergeCells count="3">
    <mergeCell ref="C236:C237"/>
    <mergeCell ref="B256:C256"/>
    <mergeCell ref="C359:C3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2026-06-18T07:40:23Z</dcterms:modified>
</cp:coreProperties>
</file>