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345" documentId="11_F25DC773A252ABDACC1048BD89DC52D45ADE58EF" xr6:coauthVersionLast="47" xr6:coauthVersionMax="47" xr10:uidLastSave="{3A0FE151-D040-4ACB-BAA3-76F2DDD045B4}"/>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46" i="1" l="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C847" i="1"/>
  <c r="C823" i="1"/>
  <c r="C825" i="1"/>
  <c r="C824" i="1"/>
  <c r="C236" i="1"/>
  <c r="D653" i="1"/>
  <c r="D269" i="1"/>
  <c r="B702" i="1"/>
  <c r="B718" i="1"/>
  <c r="B795" i="1"/>
  <c r="G441" i="1"/>
  <c r="C534" i="1"/>
  <c r="C359" i="1"/>
  <c r="E627" i="1"/>
  <c r="G315" i="1"/>
  <c r="B411" i="1"/>
  <c r="B550" i="1"/>
  <c r="C669" i="1"/>
  <c r="C477" i="1"/>
  <c r="C765" i="1"/>
  <c r="C585" i="1"/>
  <c r="B684" i="1"/>
  <c r="D774" i="1"/>
  <c r="B743" i="1"/>
  <c r="E204" i="1"/>
  <c r="B256" i="1"/>
  <c r="B756" i="1"/>
  <c r="C427" i="1"/>
  <c r="C476" i="1"/>
  <c r="E295" i="1"/>
  <c r="B742" i="1"/>
  <c r="B464" i="1"/>
  <c r="C610" i="1"/>
  <c r="B572" i="1"/>
  <c r="B500" i="1"/>
  <c r="D283" i="1"/>
  <c r="D385" i="1"/>
  <c r="C343" i="1"/>
  <c r="B792" i="1" l="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<sst xmlns="http://schemas.openxmlformats.org/spreadsheetml/2006/main" count="1130" uniqueCount="869">
  <si>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</si>
  <si>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</si>
  <si>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</si>
  <si>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</si>
  <si>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</si>
  <si>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</si>
  <si>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</si>
  <si>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</si>
  <si>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</si>
  <si>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</si>
  <si>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</si>
  <si>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</si>
  <si>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</si>
  <si>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</si>
  <si>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</si>
  <si>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</si>
  <si>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</si>
  <si>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</si>
  <si>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</si>
  <si>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</si>
  <si>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</si>
  <si>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</si>
  <si>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</si>
  <si>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</si>
  <si>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</si>
  <si>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</si>
  <si>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</si>
  <si>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</si>
  <si>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</si>
  <si>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</si>
  <si>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</si>
  <si>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</si>
  <si>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</si>
  <si>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</si>
  <si>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</si>
  <si>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</si>
  <si>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</si>
  <si>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</si>
  <si>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</si>
  <si>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</si>
  <si>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</si>
  <si>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</si>
  <si>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</si>
  <si>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</si>
  <si>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</si>
  <si>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</si>
  <si>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</si>
  <si>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</si>
  <si>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</si>
  <si>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</si>
  <si>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</si>
  <si>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</si>
  <si>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</si>
  <si>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</si>
  <si>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</si>
  <si>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</si>
  <si>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</si>
  <si>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</si>
  <si>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</si>
  <si>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</si>
  <si>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</si>
  <si>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</si>
  <si>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</si>
  <si>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</si>
  <si>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</si>
  <si>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</si>
  <si>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</si>
  <si>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</si>
  <si>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</si>
  <si>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</si>
  <si>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</si>
  <si>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</si>
  <si>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</si>
  <si>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</si>
  <si>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</si>
  <si>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</si>
  <si>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</si>
  <si>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</si>
  <si>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</si>
  <si>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</si>
  <si>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</si>
  <si>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</si>
  <si>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</si>
  <si>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</si>
  <si>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</si>
  <si>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</si>
  <si>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</si>
  <si>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</si>
  <si>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</si>
  <si>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</si>
  <si>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</si>
  <si>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</si>
  <si>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</si>
  <si>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</si>
  <si>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</si>
  <si>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</si>
  <si>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</si>
  <si>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</si>
  <si>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</si>
  <si>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</si>
  <si>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</si>
  <si>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</si>
  <si>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</si>
  <si>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</si>
  <si>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</si>
  <si>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</si>
  <si>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</si>
  <si>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</si>
  <si>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</si>
  <si>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</si>
  <si>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</si>
  <si>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</si>
  <si>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</si>
  <si>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</si>
  <si>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</si>
  <si>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</si>
  <si>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</si>
  <si>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</si>
  <si>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</si>
  <si>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</si>
  <si>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</si>
  <si>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</si>
  <si>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</si>
  <si>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</si>
  <si>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</si>
  <si>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</si>
  <si>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</si>
  <si>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</si>
  <si>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</si>
  <si>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</si>
  <si>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</si>
  <si>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</si>
  <si>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</si>
  <si>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</si>
  <si>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</si>
  <si>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</si>
  <si>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</si>
  <si>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</si>
  <si>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</si>
  <si>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</si>
  <si>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</si>
  <si>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</si>
  <si>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</si>
  <si>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</si>
  <si>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</si>
  <si>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</si>
  <si>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</si>
  <si>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</si>
  <si>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</si>
  <si>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</si>
  <si>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</si>
  <si>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</si>
  <si>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</si>
  <si>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</si>
  <si>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</si>
  <si>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</si>
  <si>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</si>
  <si>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</si>
  <si>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</si>
  <si>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</si>
  <si>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</si>
  <si>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</si>
  <si>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</si>
  <si>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</si>
  <si>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</si>
  <si>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</si>
  <si>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</si>
  <si>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</si>
  <si>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</si>
  <si>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</si>
  <si>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</si>
  <si>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</si>
  <si>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</si>
  <si>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</si>
  <si>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</si>
  <si>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</si>
  <si>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</si>
  <si>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</si>
  <si>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</si>
  <si>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</si>
  <si>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</si>
  <si>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</si>
  <si>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</si>
  <si>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</si>
  <si>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</si>
  <si>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</si>
  <si>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</si>
  <si>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</si>
  <si>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</si>
  <si>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</si>
  <si>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</si>
  <si>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</si>
  <si>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</si>
  <si>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</si>
  <si>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</si>
  <si>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</si>
  <si>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</si>
  <si>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</si>
  <si>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</si>
  <si>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</si>
  <si>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</si>
  <si>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</si>
  <si>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</si>
  <si>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</si>
  <si>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</si>
  <si>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</si>
  <si>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</si>
  <si>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</si>
  <si>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</si>
  <si>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</si>
  <si>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</si>
  <si>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</si>
  <si>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</si>
  <si>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</si>
  <si>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</si>
  <si>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</si>
  <si>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</si>
  <si>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</si>
  <si>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</si>
  <si>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</si>
  <si>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</si>
  <si>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</si>
  <si>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</si>
  <si>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</si>
  <si>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</si>
  <si>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</si>
  <si>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</si>
  <si>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</si>
  <si>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</si>
  <si>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</si>
  <si>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</si>
  <si>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</si>
  <si>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</si>
  <si>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</si>
  <si>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</si>
  <si>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</si>
  <si>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</si>
  <si>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</si>
  <si>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</si>
  <si>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</si>
  <si>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</si>
  <si>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</si>
  <si>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</si>
  <si>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</si>
  <si>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</si>
  <si>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</si>
  <si>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</si>
  <si>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</si>
  <si>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</si>
  <si>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</si>
  <si>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</si>
  <si>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</si>
  <si>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</si>
  <si>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</si>
  <si>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</si>
  <si>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</si>
  <si>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</si>
  <si>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</si>
  <si>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</si>
  <si>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</si>
  <si>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</si>
  <si>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</si>
  <si>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</si>
  <si>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</si>
  <si>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</si>
  <si>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</si>
  <si>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</si>
  <si>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</si>
  <si>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</si>
  <si>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</si>
  <si>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</si>
  <si>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</si>
  <si>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</si>
  <si>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</si>
  <si>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</si>
  <si>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</si>
  <si>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</si>
  <si>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</si>
  <si>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</si>
  <si>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</si>
  <si>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</si>
  <si>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</si>
  <si>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</si>
  <si>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</si>
  <si>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</si>
  <si>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</si>
  <si>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</si>
  <si>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</si>
  <si>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</si>
  <si>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</si>
  <si>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</si>
  <si>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</si>
  <si>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</si>
  <si>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</si>
  <si>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</si>
  <si>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</si>
  <si>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</si>
  <si>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</si>
  <si>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</si>
  <si>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</si>
  <si>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</si>
  <si>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</si>
  <si>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</si>
  <si>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</si>
  <si>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</si>
  <si>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</si>
  <si>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</si>
  <si>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</si>
  <si>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</si>
  <si>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</si>
  <si>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</si>
  <si>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</si>
  <si>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</si>
  <si>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</si>
  <si>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</si>
  <si>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</si>
  <si>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</si>
  <si>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</si>
  <si>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</si>
  <si>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</si>
  <si>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</si>
  <si>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</si>
  <si>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</si>
  <si>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</si>
  <si>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</si>
  <si>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</si>
  <si>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</si>
  <si>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</si>
  <si>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</si>
  <si>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</si>
  <si>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</si>
  <si>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</si>
  <si>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</si>
  <si>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</si>
  <si>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</si>
  <si>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</si>
  <si>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</si>
  <si>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</si>
  <si>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</si>
  <si>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</si>
  <si>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</si>
  <si>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</si>
  <si>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</si>
  <si>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</si>
  <si>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</si>
  <si>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</si>
  <si>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</si>
  <si>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</si>
  <si>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</si>
  <si>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</si>
  <si>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</si>
  <si>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</si>
  <si>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</si>
  <si>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</si>
  <si>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</si>
  <si>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</si>
  <si>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</si>
  <si>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</si>
  <si>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</si>
  <si>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</si>
  <si>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</si>
  <si>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</si>
  <si>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</si>
  <si>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</si>
  <si>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</si>
  <si>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</si>
  <si>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</si>
  <si>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</si>
  <si>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</si>
  <si>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</si>
  <si>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</si>
  <si>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</si>
  <si>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</si>
  <si>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</si>
  <si>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</si>
  <si>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</si>
  <si>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</si>
  <si>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</si>
  <si>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</si>
  <si>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</si>
  <si>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</si>
  <si>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</si>
  <si>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</si>
  <si>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</si>
  <si>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</si>
  <si>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</si>
  <si>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</si>
  <si>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</si>
  <si>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</si>
  <si>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</si>
  <si>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</si>
  <si>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</si>
  <si>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</si>
  <si>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</si>
  <si>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</si>
  <si>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</si>
  <si>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</si>
  <si>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</si>
  <si>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</si>
  <si>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</si>
  <si>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</si>
  <si>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</si>
  <si>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</si>
  <si>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</si>
  <si>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</si>
  <si>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</si>
  <si>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</si>
  <si>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</si>
  <si>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</si>
  <si>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</si>
  <si>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</si>
  <si>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</si>
  <si>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</si>
  <si>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</si>
  <si>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</si>
  <si>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</si>
  <si>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</si>
  <si>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</si>
  <si>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</si>
  <si>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</si>
  <si>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</si>
  <si>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</si>
  <si>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</si>
  <si>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</si>
  <si>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</si>
  <si>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</si>
  <si>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</si>
  <si>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</si>
  <si>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</si>
  <si>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</si>
  <si>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</si>
  <si>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</si>
  <si>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</si>
  <si>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</si>
  <si>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</si>
  <si>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</si>
  <si>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</si>
  <si>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</si>
  <si>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</si>
  <si>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</si>
  <si>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</si>
  <si>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</si>
  <si>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</si>
  <si>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</si>
  <si>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</si>
  <si>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</si>
  <si>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</si>
  <si>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</si>
  <si>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</si>
  <si>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</si>
  <si>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</si>
  <si>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</si>
  <si>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</si>
  <si>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</si>
  <si>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</si>
  <si>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</si>
  <si>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</si>
  <si>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</si>
  <si>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</si>
  <si>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</si>
  <si>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</si>
  <si>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</si>
  <si>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</si>
  <si>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</si>
  <si>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</si>
  <si>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</si>
  <si>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</si>
  <si>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</si>
  <si>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</si>
  <si>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</si>
  <si>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</si>
  <si>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</si>
  <si>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</si>
  <si>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</si>
  <si>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</si>
  <si>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</si>
  <si>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</si>
  <si>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</si>
  <si>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</si>
  <si>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</si>
  <si>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</si>
  <si>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</si>
  <si>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</si>
  <si>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</si>
  <si>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</si>
  <si>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</si>
  <si>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</si>
  <si>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</si>
  <si>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</si>
  <si>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</si>
  <si>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</si>
  <si>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</si>
  <si>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</si>
  <si>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</si>
  <si>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</si>
  <si>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</si>
  <si>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</si>
  <si>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</si>
  <si>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</si>
  <si>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</si>
  <si>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</si>
  <si>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</si>
  <si>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</si>
  <si>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</si>
  <si>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</si>
  <si>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</si>
  <si>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</si>
  <si>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</si>
  <si>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</si>
  <si>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</si>
  <si>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</si>
  <si>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</si>
  <si>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</si>
  <si>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</si>
  <si>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</si>
  <si>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</si>
  <si>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</si>
  <si>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</si>
  <si>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</si>
  <si>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</si>
  <si>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</si>
  <si>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</si>
  <si>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</si>
  <si>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</si>
  <si>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</si>
  <si>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</si>
  <si>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</si>
  <si>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</si>
  <si>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</si>
  <si>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</si>
  <si>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</si>
  <si>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</si>
  <si>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</si>
  <si>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</si>
  <si>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</si>
  <si>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</si>
  <si>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</si>
  <si>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</si>
  <si>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</si>
  <si>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</si>
  <si>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</si>
  <si>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</si>
  <si>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</si>
  <si>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</si>
  <si>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</si>
  <si>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</si>
  <si>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</si>
  <si>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</si>
  <si>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</si>
  <si>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</si>
  <si>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</si>
  <si>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</si>
  <si>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</si>
  <si>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</si>
  <si>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</si>
  <si>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</si>
  <si>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</si>
  <si>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</si>
  <si>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</si>
  <si>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</si>
  <si>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</si>
  <si>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</si>
  <si>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</si>
  <si>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</si>
  <si>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</si>
  <si>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</si>
  <si>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</si>
  <si>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</si>
  <si>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</si>
  <si>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</si>
  <si>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</si>
  <si>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</si>
  <si>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</si>
  <si>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</si>
  <si>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</si>
  <si>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</si>
  <si>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</si>
  <si>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</si>
  <si>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</si>
  <si>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</si>
  <si>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</si>
  <si>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</si>
  <si>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</si>
  <si>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</si>
  <si>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</si>
  <si>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</si>
  <si>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</si>
  <si>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</si>
  <si>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</si>
  <si>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</si>
  <si>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</si>
  <si>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</si>
  <si>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</si>
  <si>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</si>
  <si>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</si>
  <si>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</si>
  <si>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</si>
  <si>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</si>
  <si>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</si>
  <si>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</si>
  <si>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</si>
  <si>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</si>
  <si>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</si>
  <si>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</si>
  <si>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</si>
  <si>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</si>
  <si>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</si>
  <si>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</si>
  <si>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</si>
  <si>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</si>
  <si>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</si>
  <si>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</si>
  <si>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</si>
  <si>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</si>
  <si>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</si>
  <si>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</si>
  <si>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</si>
  <si>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</si>
  <si>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</si>
  <si>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</si>
  <si>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</si>
  <si>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</si>
  <si>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</si>
  <si>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</si>
  <si>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</si>
  <si>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</si>
  <si>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</si>
  <si>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</si>
  <si>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</si>
  <si>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</si>
  <si>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</si>
  <si>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</si>
  <si>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</si>
  <si>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</si>
  <si>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</si>
  <si>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</si>
  <si>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</si>
  <si>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</si>
  <si>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</si>
  <si>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</si>
  <si>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</si>
  <si>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</si>
  <si>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</si>
  <si>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</si>
  <si>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</si>
  <si>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</si>
  <si>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</si>
  <si>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</si>
  <si>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</si>
  <si>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</si>
  <si>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</si>
  <si>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</si>
  <si>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</si>
  <si>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</si>
  <si>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</si>
  <si>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</si>
  <si>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</si>
  <si>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</si>
  <si>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</si>
  <si>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</si>
  <si>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</si>
  <si>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</si>
  <si>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</si>
  <si>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</si>
  <si>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</si>
  <si>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</si>
  <si>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</si>
  <si>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</si>
  <si>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</si>
  <si>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</si>
  <si>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</si>
  <si>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</si>
  <si>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</si>
  <si>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</si>
  <si>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</si>
  <si>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</si>
  <si>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</si>
  <si>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</si>
  <si>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</si>
  <si>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</si>
  <si>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</si>
  <si>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</si>
  <si>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</si>
  <si>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</si>
  <si>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</si>
  <si>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</si>
  <si>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</si>
  <si>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</si>
  <si>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</si>
  <si>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</si>
  <si>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</si>
  <si>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</si>
  <si>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</si>
  <si>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</si>
  <si>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</si>
  <si>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</si>
  <si>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</si>
  <si>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</si>
  <si>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</si>
  <si>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</si>
  <si>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</si>
  <si>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</si>
  <si>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</si>
  <si>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</si>
  <si>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</si>
  <si>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</si>
  <si>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</si>
  <si>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</si>
  <si>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</si>
  <si>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</si>
  <si>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</si>
  <si>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</si>
  <si>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</si>
  <si>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</si>
  <si>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</si>
  <si>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</si>
  <si>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</si>
  <si>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</si>
  <si>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</si>
  <si>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</si>
  <si>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</si>
  <si>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</si>
  <si>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</si>
  <si>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</si>
  <si>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</si>
  <si>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</si>
  <si>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</si>
  <si>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</si>
  <si>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</si>
  <si>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</si>
  <si>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</si>
  <si>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</si>
  <si>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</si>
  <si>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</si>
  <si>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</si>
  <si>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</si>
  <si>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</si>
  <si>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</si>
  <si>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</si>
  <si>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</si>
  <si>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</si>
  <si>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</si>
  <si>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</si>
  <si>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</si>
  <si>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</si>
  <si>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</si>
  <si>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</si>
  <si>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</si>
  <si>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</si>
  <si>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</si>
  <si>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</si>
  <si>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</si>
  <si>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</si>
  <si>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</si>
  <si>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</si>
  <si>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</si>
  <si>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</si>
  <si>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</si>
  <si>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</si>
  <si>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</si>
  <si>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</si>
  <si>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</si>
  <si>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</si>
  <si>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</si>
  <si>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</si>
  <si>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</si>
  <si>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</si>
  <si>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</si>
  <si>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</si>
  <si>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</si>
  <si>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</si>
  <si>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</si>
  <si>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</si>
  <si>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</si>
  <si>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</si>
  <si>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</si>
  <si>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</si>
  <si>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</si>
  <si>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</si>
  <si>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</si>
  <si>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</si>
  <si>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</si>
  <si>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</si>
  <si>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</si>
  <si>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</si>
  <si>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</si>
  <si>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</si>
  <si>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</si>
  <si>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</si>
  <si>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</si>
  <si>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</si>
  <si>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</si>
  <si>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</si>
  <si>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</si>
  <si>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</si>
  <si>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</si>
  <si>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</si>
  <si>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</si>
  <si>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</si>
  <si>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</si>
  <si>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</si>
  <si>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</si>
  <si>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</si>
  <si>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</si>
  <si>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</si>
  <si>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</si>
  <si>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</si>
  <si>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</si>
  <si>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</si>
  <si>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</si>
  <si>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</si>
  <si>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</si>
  <si>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</si>
  <si>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</si>
  <si>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</si>
  <si>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</si>
  <si>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</si>
  <si>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</si>
  <si>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</si>
  <si>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</si>
  <si>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</si>
  <si>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</si>
  <si>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</si>
  <si>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</si>
  <si>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</si>
  <si>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</si>
  <si>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</si>
  <si>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</si>
  <si>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</si>
  <si>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</si>
  <si>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</si>
  <si>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</si>
  <si>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</si>
  <si>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</si>
  <si>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</si>
  <si>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</si>
  <si>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</si>
  <si>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</si>
  <si>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</si>
  <si>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</si>
  <si>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</si>
  <si>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</si>
  <si>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</si>
  <si>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</si>
  <si>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</si>
  <si>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</si>
  <si>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</si>
  <si>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</si>
  <si>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</si>
  <si>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</si>
  <si>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</si>
  <si>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</si>
  <si>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</si>
  <si>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</si>
  <si>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</si>
  <si>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</si>
  <si>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</si>
  <si>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r>
      <t>AND returns TRUE only when </t>
    </r>
    <r>
      <rPr>
        <i/>
        <sz val="12"/>
        <color rgb="FF000000"/>
        <rFont val="Calibri"/>
        <family val="2"/>
        <scheme val="minor"/>
      </rPr>
      <t>all</t>
    </r>
    <r>
      <rPr>
        <sz val="12"/>
        <color rgb="FF000000"/>
        <rFont val="Calibri"/>
        <family val="2"/>
        <scheme val="minor"/>
      </rPr>
      <t> tests are TRUE. You’ll typically use it inside IF to create a single decision rule.</t>
    </r>
  </si>
  <si>
    <r>
      <t>1. In column </t>
    </r>
    <r>
      <rPr>
        <sz val="12"/>
        <color rgb="FF000000"/>
        <rFont val="Calibri"/>
        <family val="2"/>
        <scheme val="minor"/>
      </rPr>
      <t>E (Decision), return "Approve" only when both of these are true:</t>
    </r>
  </si>
  <si>
    <r>
      <t>Credit score is </t>
    </r>
    <r>
      <rPr>
        <sz val="12"/>
        <color rgb="FF000000"/>
        <rFont val="Calibri"/>
        <family val="2"/>
        <scheme val="minor"/>
      </rPr>
      <t>greater than 700</t>
    </r>
  </si>
  <si>
    <r>
      <t>Annual income is </t>
    </r>
    <r>
      <rPr>
        <sz val="12"/>
        <color rgb="FF000000"/>
        <rFont val="Calibri"/>
        <family val="2"/>
        <scheme val="minor"/>
      </rPr>
      <t>greater than 50,000</t>
    </r>
  </si>
  <si>
    <r>
      <t>2. Otherwise, return </t>
    </r>
    <r>
      <rPr>
        <sz val="12"/>
        <color rgb="FF000000"/>
        <rFont val="Calibri"/>
        <family val="2"/>
        <scheme val="minor"/>
      </rPr>
      <t>"Decline".</t>
    </r>
  </si>
  <si>
    <r>
      <t>3. Write the formula in </t>
    </r>
    <r>
      <rPr>
        <sz val="12"/>
        <color rgb="FF000000"/>
        <rFont val="Calibri"/>
        <family val="2"/>
        <scheme val="minor"/>
      </rPr>
      <t>E2, then fill it down through E11.</t>
    </r>
  </si>
  <si>
    <r>
      <t>In the exercise, we are expecting an error, namely a </t>
    </r>
    <r>
      <rPr>
        <i/>
        <sz val="12"/>
        <color theme="1"/>
        <rFont val="Calibri"/>
        <family val="2"/>
        <scheme val="minor"/>
      </rPr>
      <t>#DIV/0!</t>
    </r>
    <r>
      <rPr>
        <sz val="12"/>
        <color theme="1"/>
        <rFont val="Calibri"/>
        <family val="2"/>
        <scheme val="min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</si>
  <si>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family val="2"/>
        <scheme val="minor"/>
      </rPr>
      <t>Drinks per guest</t>
    </r>
    <r>
      <rPr>
        <sz val="12"/>
        <color theme="1"/>
        <rFont val="Calibri"/>
        <family val="2"/>
        <scheme val="min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</si>
  <si>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family val="2"/>
        <scheme val="minor"/>
      </rPr>
      <t>#DIV/0!</t>
    </r>
    <r>
      <rPr>
        <sz val="12"/>
        <color theme="1"/>
        <rFont val="Calibri"/>
        <family val="2"/>
        <scheme val="minor"/>
      </rPr>
      <t> error.</t>
    </r>
  </si>
  <si>
    <t>1. AGGREGATE function - Has a built-in option to ignore error values</t>
  </si>
  <si>
    <t>2. SUMIF with error checking - Filter out errors before summing</t>
  </si>
  <si>
    <t>3. IFERROR wrapper - Replace each error with 0 before summing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</si>
</sst>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2"/>
      <color theme="1"/>
      <name val="Calibri"/>
      <family val="2"/>
      <scheme val="minor"/>
    </font>
    <font>
      <sz val="12"/>
      <color rgb="FF1E1E1E"/>
      <name val="Calibri"/>
      <family val="2"/>
      <scheme val="minor"/>
    </font>
    <font>
      <sz val="12"/>
      <color rgb="FF555555"/>
      <name val="Calibri"/>
      <family val="2"/>
      <scheme val="minor"/>
    </font>
    <font>
      <i/>
      <sz val="12"/>
      <color rgb="FF000000"/>
      <name val="Calibri"/>
      <family val="2"/>
      <scheme val="minor"/>
    </font>
    <font>
      <sz val="12"/>
      <color rgb="FF000000"/>
      <name val="Calibri"/>
      <family val="2"/>
      <scheme val="minor"/>
    </font>
    <font>
      <i/>
      <sz val="12"/>
      <color rgb="FF444444"/>
      <name val="Calibri"/>
      <family val="2"/>
      <scheme val="minor"/>
    </font>
    <font>
      <i/>
      <sz val="12"/>
      <color theme="1"/>
      <name val="Calibri"/>
      <family val="2"/>
      <scheme val="minor"/>
    </font>
    <font>
      <sz val="12"/>
      <color rgb="FF6B7280"/>
      <name val="Calibri"/>
      <family val="2"/>
      <scheme val="minor"/>
    </font>
  </fonts>
  <fills count="28">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s>
  <borders count="1">
    <border>
      <left/>
      <right/>
      <top/>
      <bottom/>
      <diagonal/>
    </border>
  </borders>
  <cellStyleXfs count="1">
    <xf numFmtId="0" fontId="0" fillId="0" borderId="0"/>
  </cellStyleXfs>
  <cellXfs count="67">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0" borderId="0" xfId="0" applyFont="1" applyAlignment="1">
      <alignment horizontal="center" vertical="top"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xf numFmtId="0" fontId="1" fillId="0" borderId="0" xfId="0" applyFont="1" applyAlignment="1">
      <alignment horizontal="center" vertical="top"/>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17"/>
  <sheetViews>
    <sheetView tabSelected="1" topLeftCell="A812" zoomScale="85" zoomScaleNormal="85" workbookViewId="0">
      <selection activeCell="A822" sqref="A822"/>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8">
        <v>7</v>
      </c>
    </row>
    <row r="19" spans="1:23" x14ac:dyDescent="0.3">
      <c r="A19" s="8">
        <v>18</v>
      </c>
    </row>
    <row r="20" spans="1:23" x14ac:dyDescent="0.3">
      <c r="A20" s="8">
        <v>35</v>
      </c>
    </row>
    <row r="21" spans="1:23" x14ac:dyDescent="0.3">
      <c r="A21" s="8">
        <v>1</v>
      </c>
    </row>
    <row r="22" spans="1:23" x14ac:dyDescent="0.3">
      <c r="A22" s="8">
        <v>9</v>
      </c>
    </row>
    <row r="23" spans="1:23" x14ac:dyDescent="0.3">
      <c r="A23" s="8"/>
    </row>
    <row r="24" spans="1:23" x14ac:dyDescent="0.3">
      <c r="A24" s="9">
        <f>AVERAGE(A18:A22)</f>
        <v>14</v>
      </c>
    </row>
    <row r="26" spans="1:23" s="10"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1" t="s">
        <v>7</v>
      </c>
      <c r="B27" s="11" t="s">
        <v>8</v>
      </c>
      <c r="C27" s="11" t="s">
        <v>9</v>
      </c>
      <c r="D27" s="11" t="s">
        <v>10</v>
      </c>
    </row>
    <row r="28" spans="1:23" x14ac:dyDescent="0.3">
      <c r="A28" s="8" t="s">
        <v>11</v>
      </c>
      <c r="B28" s="12">
        <v>3</v>
      </c>
      <c r="C28" s="12">
        <v>25</v>
      </c>
      <c r="D28" s="13">
        <f>B28*C28</f>
        <v>75</v>
      </c>
    </row>
    <row r="29" spans="1:23" x14ac:dyDescent="0.3">
      <c r="A29" s="8" t="s">
        <v>12</v>
      </c>
      <c r="B29" s="12">
        <v>5</v>
      </c>
      <c r="C29" s="12">
        <v>18</v>
      </c>
      <c r="D29" s="13">
        <f t="shared" ref="D29:D33" si="0">B29*C29</f>
        <v>90</v>
      </c>
    </row>
    <row r="30" spans="1:23" x14ac:dyDescent="0.3">
      <c r="A30" s="8" t="s">
        <v>13</v>
      </c>
      <c r="B30" s="12">
        <v>10</v>
      </c>
      <c r="C30" s="12">
        <v>9</v>
      </c>
      <c r="D30" s="13">
        <f t="shared" si="0"/>
        <v>90</v>
      </c>
    </row>
    <row r="31" spans="1:23" x14ac:dyDescent="0.3">
      <c r="A31" s="8" t="s">
        <v>14</v>
      </c>
      <c r="B31" s="12">
        <v>2</v>
      </c>
      <c r="C31" s="12">
        <v>42</v>
      </c>
      <c r="D31" s="13">
        <f t="shared" si="0"/>
        <v>84</v>
      </c>
    </row>
    <row r="32" spans="1:23" x14ac:dyDescent="0.3">
      <c r="A32" s="8" t="s">
        <v>15</v>
      </c>
      <c r="B32" s="12">
        <v>12</v>
      </c>
      <c r="C32" s="12">
        <v>6</v>
      </c>
      <c r="D32" s="13">
        <f t="shared" si="0"/>
        <v>72</v>
      </c>
    </row>
    <row r="33" spans="1:4" x14ac:dyDescent="0.3">
      <c r="A33" s="8" t="s">
        <v>16</v>
      </c>
      <c r="B33" s="12">
        <v>4</v>
      </c>
      <c r="C33" s="12">
        <v>15</v>
      </c>
      <c r="D33" s="13">
        <f t="shared" si="0"/>
        <v>60</v>
      </c>
    </row>
    <row r="34" spans="1:4" x14ac:dyDescent="0.3">
      <c r="A34" s="8"/>
      <c r="B34" s="12"/>
      <c r="C34" s="12"/>
      <c r="D34" s="13"/>
    </row>
    <row r="35" spans="1:4" x14ac:dyDescent="0.3">
      <c r="A35" s="4" t="s">
        <v>215</v>
      </c>
    </row>
    <row r="36" spans="1:4" ht="202.8" x14ac:dyDescent="0.3">
      <c r="A36" s="5" t="s">
        <v>214</v>
      </c>
    </row>
    <row r="38" spans="1:4" x14ac:dyDescent="0.3">
      <c r="A38" s="14" t="s">
        <v>17</v>
      </c>
      <c r="B38" s="14" t="s">
        <v>18</v>
      </c>
      <c r="C38" s="14" t="s">
        <v>19</v>
      </c>
    </row>
    <row r="39" spans="1:4" x14ac:dyDescent="0.3">
      <c r="A39" s="8" t="s">
        <v>20</v>
      </c>
      <c r="B39" s="15">
        <v>1250</v>
      </c>
      <c r="C39" s="16">
        <f>VALUE(B39)</f>
        <v>1250</v>
      </c>
    </row>
    <row r="40" spans="1:4" x14ac:dyDescent="0.3">
      <c r="A40" s="8" t="s">
        <v>21</v>
      </c>
      <c r="B40" s="15">
        <v>879.5</v>
      </c>
      <c r="C40" s="16">
        <f t="shared" ref="C40:C44" si="1">VALUE(B40)</f>
        <v>879.5</v>
      </c>
    </row>
    <row r="41" spans="1:4" x14ac:dyDescent="0.3">
      <c r="A41" s="8" t="s">
        <v>22</v>
      </c>
      <c r="B41" s="15">
        <v>3200</v>
      </c>
      <c r="C41" s="16">
        <f t="shared" si="1"/>
        <v>3200</v>
      </c>
    </row>
    <row r="42" spans="1:4" x14ac:dyDescent="0.3">
      <c r="A42" s="8" t="s">
        <v>23</v>
      </c>
      <c r="B42" s="15">
        <v>415.75</v>
      </c>
      <c r="C42" s="16">
        <f t="shared" si="1"/>
        <v>415.75</v>
      </c>
    </row>
    <row r="43" spans="1:4" x14ac:dyDescent="0.3">
      <c r="A43" s="8" t="s">
        <v>24</v>
      </c>
      <c r="B43" s="15">
        <v>999</v>
      </c>
      <c r="C43" s="16">
        <f t="shared" si="1"/>
        <v>999</v>
      </c>
    </row>
    <row r="44" spans="1:4" x14ac:dyDescent="0.3">
      <c r="A44" s="8" t="s">
        <v>25</v>
      </c>
      <c r="B44" s="15">
        <v>150.25</v>
      </c>
      <c r="C44" s="16">
        <f t="shared" si="1"/>
        <v>150.25</v>
      </c>
    </row>
    <row r="45" spans="1:4" x14ac:dyDescent="0.3">
      <c r="A45" s="8" t="s">
        <v>26</v>
      </c>
      <c r="B45" s="8">
        <v>0</v>
      </c>
      <c r="C45" s="17">
        <f>SUM(C39:C44)</f>
        <v>6894.5</v>
      </c>
    </row>
    <row r="47" spans="1:4" x14ac:dyDescent="0.3">
      <c r="A47" s="18" t="s">
        <v>27</v>
      </c>
    </row>
    <row r="48" spans="1:4" ht="93.6" x14ac:dyDescent="0.3">
      <c r="A48" s="5" t="s">
        <v>211</v>
      </c>
    </row>
    <row r="49" spans="1:4" x14ac:dyDescent="0.3">
      <c r="A49" s="5"/>
    </row>
    <row r="50" spans="1:4" x14ac:dyDescent="0.3">
      <c r="A50" s="14" t="s">
        <v>29</v>
      </c>
      <c r="B50" s="14" t="s">
        <v>30</v>
      </c>
      <c r="C50" s="14" t="s">
        <v>31</v>
      </c>
      <c r="D50" s="14" t="s">
        <v>32</v>
      </c>
    </row>
    <row r="51" spans="1:4" x14ac:dyDescent="0.3">
      <c r="A51" s="8" t="s">
        <v>33</v>
      </c>
      <c r="B51" s="19">
        <v>7.8</v>
      </c>
      <c r="C51" s="9">
        <f>INT(B51)</f>
        <v>7</v>
      </c>
      <c r="D51" s="9">
        <f>TRUNC(B51)</f>
        <v>7</v>
      </c>
    </row>
    <row r="52" spans="1:4" x14ac:dyDescent="0.3">
      <c r="A52" s="8" t="s">
        <v>34</v>
      </c>
      <c r="B52" s="19">
        <v>15.23</v>
      </c>
      <c r="C52" s="9">
        <f t="shared" ref="C52:C61" si="2">INT(B52)</f>
        <v>15</v>
      </c>
      <c r="D52" s="9">
        <f t="shared" ref="D52:D61" si="3">TRUNC(B52)</f>
        <v>15</v>
      </c>
    </row>
    <row r="53" spans="1:4" x14ac:dyDescent="0.3">
      <c r="A53" s="8" t="s">
        <v>35</v>
      </c>
      <c r="B53" s="19">
        <v>99.9</v>
      </c>
      <c r="C53" s="9">
        <f t="shared" si="2"/>
        <v>99</v>
      </c>
      <c r="D53" s="9">
        <f t="shared" si="3"/>
        <v>99</v>
      </c>
    </row>
    <row r="54" spans="1:4" x14ac:dyDescent="0.3">
      <c r="A54" s="8" t="s">
        <v>36</v>
      </c>
      <c r="B54" s="19">
        <v>-3.4</v>
      </c>
      <c r="C54" s="9">
        <f t="shared" si="2"/>
        <v>-4</v>
      </c>
      <c r="D54" s="9">
        <f t="shared" si="3"/>
        <v>-3</v>
      </c>
    </row>
    <row r="55" spans="1:4" x14ac:dyDescent="0.3">
      <c r="A55" s="8" t="s">
        <v>37</v>
      </c>
      <c r="B55" s="19">
        <v>-12.75</v>
      </c>
      <c r="C55" s="9">
        <f t="shared" si="2"/>
        <v>-13</v>
      </c>
      <c r="D55" s="9">
        <f t="shared" si="3"/>
        <v>-12</v>
      </c>
    </row>
    <row r="56" spans="1:4" x14ac:dyDescent="0.3">
      <c r="A56" s="8" t="s">
        <v>38</v>
      </c>
      <c r="B56" s="19">
        <v>-0.62</v>
      </c>
      <c r="C56" s="9">
        <f t="shared" si="2"/>
        <v>-1</v>
      </c>
      <c r="D56" s="9">
        <f t="shared" si="3"/>
        <v>0</v>
      </c>
    </row>
    <row r="57" spans="1:4" x14ac:dyDescent="0.3">
      <c r="A57" s="8" t="s">
        <v>39</v>
      </c>
      <c r="B57" s="19">
        <v>22.49</v>
      </c>
      <c r="C57" s="9">
        <f t="shared" si="2"/>
        <v>22</v>
      </c>
      <c r="D57" s="9">
        <f t="shared" si="3"/>
        <v>22</v>
      </c>
    </row>
    <row r="58" spans="1:4" x14ac:dyDescent="0.3">
      <c r="A58" s="8" t="s">
        <v>40</v>
      </c>
      <c r="B58" s="19">
        <v>-8.01</v>
      </c>
      <c r="C58" s="9">
        <f t="shared" si="2"/>
        <v>-9</v>
      </c>
      <c r="D58" s="9">
        <f t="shared" si="3"/>
        <v>-8</v>
      </c>
    </row>
    <row r="59" spans="1:4" x14ac:dyDescent="0.3">
      <c r="A59" s="8" t="s">
        <v>41</v>
      </c>
      <c r="B59" s="19">
        <v>4.99</v>
      </c>
      <c r="C59" s="9">
        <f t="shared" si="2"/>
        <v>4</v>
      </c>
      <c r="D59" s="9">
        <f t="shared" si="3"/>
        <v>4</v>
      </c>
    </row>
    <row r="60" spans="1:4" x14ac:dyDescent="0.3">
      <c r="A60" s="8" t="s">
        <v>42</v>
      </c>
      <c r="B60" s="19">
        <v>11.58</v>
      </c>
      <c r="C60" s="9">
        <f t="shared" si="2"/>
        <v>11</v>
      </c>
      <c r="D60" s="9">
        <f t="shared" si="3"/>
        <v>11</v>
      </c>
    </row>
    <row r="61" spans="1:4" x14ac:dyDescent="0.3">
      <c r="A61" s="8" t="s">
        <v>43</v>
      </c>
      <c r="B61" s="19">
        <v>-5.2</v>
      </c>
      <c r="C61" s="9">
        <f t="shared" si="2"/>
        <v>-6</v>
      </c>
      <c r="D61" s="9">
        <f t="shared" si="3"/>
        <v>-5</v>
      </c>
    </row>
    <row r="63" spans="1:4" x14ac:dyDescent="0.3">
      <c r="A63" s="18" t="s">
        <v>44</v>
      </c>
    </row>
    <row r="64" spans="1:4" ht="93.6" x14ac:dyDescent="0.3">
      <c r="A64" s="5" t="s">
        <v>45</v>
      </c>
    </row>
    <row r="65" spans="1:4" x14ac:dyDescent="0.3">
      <c r="A65" s="5"/>
    </row>
    <row r="66" spans="1:4" x14ac:dyDescent="0.3">
      <c r="A66" s="11" t="s">
        <v>46</v>
      </c>
      <c r="B66" s="11" t="s">
        <v>47</v>
      </c>
      <c r="C66" s="11" t="s">
        <v>8</v>
      </c>
      <c r="D66" s="11" t="s">
        <v>48</v>
      </c>
    </row>
    <row r="67" spans="1:4" x14ac:dyDescent="0.3">
      <c r="A67" s="8" t="s">
        <v>49</v>
      </c>
      <c r="B67" s="8" t="s">
        <v>50</v>
      </c>
      <c r="C67" s="8">
        <v>48</v>
      </c>
      <c r="D67" s="8" t="s">
        <v>51</v>
      </c>
    </row>
    <row r="68" spans="1:4" x14ac:dyDescent="0.3">
      <c r="A68" s="8" t="s">
        <v>52</v>
      </c>
      <c r="B68" s="8" t="s">
        <v>53</v>
      </c>
      <c r="C68" s="8">
        <v>15</v>
      </c>
      <c r="D68" s="8" t="s">
        <v>54</v>
      </c>
    </row>
    <row r="69" spans="1:4" x14ac:dyDescent="0.3">
      <c r="A69" s="8" t="s">
        <v>55</v>
      </c>
      <c r="B69" s="8" t="s">
        <v>56</v>
      </c>
      <c r="C69" s="8">
        <v>22</v>
      </c>
      <c r="D69" s="8" t="s">
        <v>57</v>
      </c>
    </row>
    <row r="70" spans="1:4" x14ac:dyDescent="0.3">
      <c r="A70" s="8" t="s">
        <v>58</v>
      </c>
      <c r="B70" s="8" t="s">
        <v>56</v>
      </c>
      <c r="C70" s="8">
        <v>10</v>
      </c>
      <c r="D70" s="8" t="s">
        <v>59</v>
      </c>
    </row>
    <row r="71" spans="1:4" x14ac:dyDescent="0.3">
      <c r="A71" s="8" t="s">
        <v>60</v>
      </c>
      <c r="B71" s="8" t="s">
        <v>61</v>
      </c>
      <c r="C71" s="8"/>
      <c r="D71" s="8" t="s">
        <v>62</v>
      </c>
    </row>
    <row r="72" spans="1:4" x14ac:dyDescent="0.3">
      <c r="A72" s="8" t="s">
        <v>63</v>
      </c>
      <c r="B72" s="8" t="s">
        <v>64</v>
      </c>
      <c r="C72" s="8">
        <v>5</v>
      </c>
      <c r="D72" s="8" t="s">
        <v>65</v>
      </c>
    </row>
    <row r="73" spans="1:4" x14ac:dyDescent="0.3">
      <c r="A73" s="8" t="s">
        <v>66</v>
      </c>
      <c r="B73" s="8" t="s">
        <v>67</v>
      </c>
      <c r="C73" s="8">
        <v>2</v>
      </c>
      <c r="D73" s="8" t="s">
        <v>68</v>
      </c>
    </row>
    <row r="74" spans="1:4" x14ac:dyDescent="0.3">
      <c r="A74" s="19" t="s">
        <v>69</v>
      </c>
      <c r="B74" s="9">
        <f>COUNTA(B67:B73)</f>
        <v>7</v>
      </c>
      <c r="C74" s="19" t="s">
        <v>70</v>
      </c>
      <c r="D74" s="9">
        <f>COUNT(C67:C73)</f>
        <v>6</v>
      </c>
    </row>
    <row r="76" spans="1:4" x14ac:dyDescent="0.3">
      <c r="A76" s="18" t="s">
        <v>71</v>
      </c>
    </row>
    <row r="77" spans="1:4" ht="78" x14ac:dyDescent="0.3">
      <c r="A77" s="5" t="s">
        <v>72</v>
      </c>
    </row>
    <row r="78" spans="1:4" x14ac:dyDescent="0.3">
      <c r="A78" s="11" t="s">
        <v>73</v>
      </c>
      <c r="B78" s="11" t="s">
        <v>74</v>
      </c>
    </row>
    <row r="79" spans="1:4" x14ac:dyDescent="0.3">
      <c r="A79" s="8" t="s">
        <v>75</v>
      </c>
      <c r="B79" s="8">
        <v>18500</v>
      </c>
    </row>
    <row r="80" spans="1:4" x14ac:dyDescent="0.3">
      <c r="A80" s="8" t="s">
        <v>76</v>
      </c>
      <c r="B80" s="8">
        <v>21250</v>
      </c>
    </row>
    <row r="81" spans="1:3" x14ac:dyDescent="0.3">
      <c r="A81" s="8" t="s">
        <v>77</v>
      </c>
      <c r="B81" s="8">
        <v>19800</v>
      </c>
    </row>
    <row r="82" spans="1:3" x14ac:dyDescent="0.3">
      <c r="A82" s="8" t="s">
        <v>78</v>
      </c>
      <c r="B82" s="8">
        <v>25000</v>
      </c>
    </row>
    <row r="83" spans="1:3" x14ac:dyDescent="0.3">
      <c r="A83" s="8" t="s">
        <v>79</v>
      </c>
      <c r="B83" s="8">
        <v>23750</v>
      </c>
    </row>
    <row r="84" spans="1:3" x14ac:dyDescent="0.3">
      <c r="A84" s="8" t="s">
        <v>80</v>
      </c>
      <c r="B84" s="8">
        <v>22100</v>
      </c>
    </row>
    <row r="85" spans="1:3" x14ac:dyDescent="0.3">
      <c r="A85" s="8" t="s">
        <v>81</v>
      </c>
      <c r="B85" s="8">
        <v>26400</v>
      </c>
    </row>
    <row r="86" spans="1:3" x14ac:dyDescent="0.3">
      <c r="A86" s="8" t="s">
        <v>82</v>
      </c>
      <c r="B86" s="8">
        <v>24300</v>
      </c>
    </row>
    <row r="87" spans="1:3" x14ac:dyDescent="0.3">
      <c r="A87" s="8" t="s">
        <v>83</v>
      </c>
      <c r="B87" s="9">
        <v>26400</v>
      </c>
    </row>
    <row r="89" spans="1:3" x14ac:dyDescent="0.3">
      <c r="A89" s="18" t="s">
        <v>84</v>
      </c>
    </row>
    <row r="90" spans="1:3" ht="62.4" x14ac:dyDescent="0.3">
      <c r="A90" s="5" t="s">
        <v>85</v>
      </c>
    </row>
    <row r="91" spans="1:3" x14ac:dyDescent="0.3">
      <c r="A91" s="5"/>
    </row>
    <row r="92" spans="1:3" x14ac:dyDescent="0.3">
      <c r="A92" s="11" t="s">
        <v>86</v>
      </c>
      <c r="B92" s="11" t="s">
        <v>87</v>
      </c>
      <c r="C92" s="11" t="s">
        <v>88</v>
      </c>
    </row>
    <row r="93" spans="1:3" x14ac:dyDescent="0.3">
      <c r="A93" s="8" t="s">
        <v>89</v>
      </c>
      <c r="B93" s="8" t="s">
        <v>90</v>
      </c>
      <c r="C93" s="20">
        <v>425</v>
      </c>
    </row>
    <row r="94" spans="1:3" x14ac:dyDescent="0.3">
      <c r="A94" s="8" t="s">
        <v>91</v>
      </c>
      <c r="B94" s="8" t="s">
        <v>92</v>
      </c>
      <c r="C94" s="20">
        <v>980</v>
      </c>
    </row>
    <row r="95" spans="1:3" x14ac:dyDescent="0.3">
      <c r="A95" s="8" t="s">
        <v>93</v>
      </c>
      <c r="B95" s="8" t="s">
        <v>94</v>
      </c>
      <c r="C95" s="20">
        <v>160</v>
      </c>
    </row>
    <row r="96" spans="1:3" x14ac:dyDescent="0.3">
      <c r="A96" s="8" t="s">
        <v>95</v>
      </c>
      <c r="B96" s="8" t="s">
        <v>96</v>
      </c>
      <c r="C96" s="20">
        <v>350</v>
      </c>
    </row>
    <row r="97" spans="1:4" x14ac:dyDescent="0.3">
      <c r="A97" s="8" t="s">
        <v>97</v>
      </c>
      <c r="B97" s="8" t="s">
        <v>98</v>
      </c>
      <c r="C97" s="20">
        <v>1200</v>
      </c>
    </row>
    <row r="98" spans="1:4" x14ac:dyDescent="0.3">
      <c r="A98" s="8" t="s">
        <v>99</v>
      </c>
      <c r="B98" s="8" t="s">
        <v>90</v>
      </c>
      <c r="C98" s="20">
        <v>95</v>
      </c>
    </row>
    <row r="99" spans="1:4" x14ac:dyDescent="0.3">
      <c r="A99" s="8" t="s">
        <v>100</v>
      </c>
      <c r="B99" s="8"/>
      <c r="C99" s="13">
        <f>MIN(C93:C98)</f>
        <v>95</v>
      </c>
    </row>
    <row r="101" spans="1:4" x14ac:dyDescent="0.3">
      <c r="A101" s="18" t="s">
        <v>101</v>
      </c>
    </row>
    <row r="102" spans="1:4" x14ac:dyDescent="0.3">
      <c r="A102" s="21" t="s">
        <v>102</v>
      </c>
    </row>
    <row r="103" spans="1:4" ht="124.8" x14ac:dyDescent="0.3">
      <c r="A103" s="5" t="s">
        <v>103</v>
      </c>
    </row>
    <row r="104" spans="1:4" x14ac:dyDescent="0.3">
      <c r="A104" s="14" t="s">
        <v>104</v>
      </c>
      <c r="B104" s="14" t="s">
        <v>105</v>
      </c>
      <c r="C104" s="14" t="s">
        <v>47</v>
      </c>
      <c r="D104" s="14" t="s">
        <v>88</v>
      </c>
    </row>
    <row r="105" spans="1:4" x14ac:dyDescent="0.3">
      <c r="A105" s="8">
        <v>1001</v>
      </c>
      <c r="B105" s="22">
        <v>46025</v>
      </c>
      <c r="C105" s="8" t="s">
        <v>106</v>
      </c>
      <c r="D105" s="8">
        <v>249.99</v>
      </c>
    </row>
    <row r="106" spans="1:4" x14ac:dyDescent="0.3">
      <c r="A106" s="8">
        <v>1002</v>
      </c>
      <c r="B106" s="22">
        <v>46026</v>
      </c>
      <c r="C106" s="8" t="s">
        <v>107</v>
      </c>
      <c r="D106" s="8">
        <v>39.5</v>
      </c>
    </row>
    <row r="107" spans="1:4" x14ac:dyDescent="0.3">
      <c r="A107" s="8">
        <v>1003</v>
      </c>
      <c r="B107" s="22">
        <v>46027</v>
      </c>
      <c r="C107" s="8" t="s">
        <v>106</v>
      </c>
      <c r="D107" s="8">
        <v>89</v>
      </c>
    </row>
    <row r="108" spans="1:4" x14ac:dyDescent="0.3">
      <c r="A108" s="8">
        <v>1004</v>
      </c>
      <c r="B108" s="22">
        <v>46027</v>
      </c>
      <c r="C108" s="8" t="s">
        <v>108</v>
      </c>
      <c r="D108" s="8">
        <v>59.99</v>
      </c>
    </row>
    <row r="109" spans="1:4" x14ac:dyDescent="0.3">
      <c r="A109" s="8">
        <v>1005</v>
      </c>
      <c r="B109" s="22">
        <v>46028</v>
      </c>
      <c r="C109" s="8" t="s">
        <v>106</v>
      </c>
      <c r="D109" s="8">
        <v>129</v>
      </c>
    </row>
    <row r="110" spans="1:4" x14ac:dyDescent="0.3">
      <c r="A110" s="8">
        <v>1006</v>
      </c>
      <c r="B110" s="22">
        <v>46028</v>
      </c>
      <c r="C110" s="8" t="s">
        <v>109</v>
      </c>
      <c r="D110" s="8">
        <v>24.99</v>
      </c>
    </row>
    <row r="111" spans="1:4" x14ac:dyDescent="0.3">
      <c r="A111" s="8">
        <v>1007</v>
      </c>
      <c r="B111" s="22">
        <v>46029</v>
      </c>
      <c r="C111" s="8" t="s">
        <v>107</v>
      </c>
      <c r="D111" s="8">
        <v>75</v>
      </c>
    </row>
    <row r="112" spans="1:4" x14ac:dyDescent="0.3">
      <c r="A112" s="8"/>
      <c r="B112" s="8"/>
      <c r="C112" s="8" t="s">
        <v>110</v>
      </c>
      <c r="D112" s="9">
        <v>3</v>
      </c>
    </row>
    <row r="114" spans="1:3" x14ac:dyDescent="0.3">
      <c r="A114" s="18" t="s">
        <v>111</v>
      </c>
    </row>
    <row r="115" spans="1:3" ht="140.4" x14ac:dyDescent="0.3">
      <c r="A115" s="5" t="s">
        <v>112</v>
      </c>
    </row>
    <row r="116" spans="1:3" x14ac:dyDescent="0.3">
      <c r="A116" s="14" t="s">
        <v>113</v>
      </c>
      <c r="B116" s="14" t="s">
        <v>87</v>
      </c>
      <c r="C116" s="14" t="s">
        <v>114</v>
      </c>
    </row>
    <row r="117" spans="1:3" x14ac:dyDescent="0.3">
      <c r="A117" s="8" t="s">
        <v>115</v>
      </c>
      <c r="B117" s="8" t="s">
        <v>116</v>
      </c>
      <c r="C117" s="12">
        <v>48000</v>
      </c>
    </row>
    <row r="118" spans="1:3" x14ac:dyDescent="0.3">
      <c r="A118" s="8" t="s">
        <v>117</v>
      </c>
      <c r="B118" s="8" t="s">
        <v>90</v>
      </c>
      <c r="C118" s="12">
        <v>52000</v>
      </c>
    </row>
    <row r="119" spans="1:3" x14ac:dyDescent="0.3">
      <c r="A119" s="8" t="s">
        <v>118</v>
      </c>
      <c r="B119" s="8" t="s">
        <v>119</v>
      </c>
      <c r="C119" s="12">
        <v>56000</v>
      </c>
    </row>
    <row r="120" spans="1:3" x14ac:dyDescent="0.3">
      <c r="A120" s="8" t="s">
        <v>120</v>
      </c>
      <c r="B120" s="8" t="s">
        <v>92</v>
      </c>
      <c r="C120" s="12">
        <v>59000</v>
      </c>
    </row>
    <row r="121" spans="1:3" x14ac:dyDescent="0.3">
      <c r="A121" s="8" t="s">
        <v>121</v>
      </c>
      <c r="B121" s="8" t="s">
        <v>96</v>
      </c>
      <c r="C121" s="12">
        <v>62000</v>
      </c>
    </row>
    <row r="122" spans="1:3" x14ac:dyDescent="0.3">
      <c r="A122" s="8" t="s">
        <v>122</v>
      </c>
      <c r="B122" s="8" t="s">
        <v>123</v>
      </c>
      <c r="C122" s="12">
        <v>68000</v>
      </c>
    </row>
    <row r="123" spans="1:3" x14ac:dyDescent="0.3">
      <c r="A123" s="8" t="s">
        <v>124</v>
      </c>
      <c r="B123" s="8" t="s">
        <v>46</v>
      </c>
      <c r="C123" s="12">
        <v>74000</v>
      </c>
    </row>
    <row r="124" spans="1:3" x14ac:dyDescent="0.3">
      <c r="A124" s="8" t="s">
        <v>125</v>
      </c>
      <c r="B124" s="8" t="s">
        <v>126</v>
      </c>
      <c r="C124" s="12">
        <v>150000</v>
      </c>
    </row>
    <row r="125" spans="1:3" x14ac:dyDescent="0.3">
      <c r="A125" s="8" t="s">
        <v>127</v>
      </c>
      <c r="B125" s="13">
        <f>MEDIAN(C117:C124)</f>
        <v>60500</v>
      </c>
      <c r="C125" s="8"/>
    </row>
    <row r="126" spans="1:3" x14ac:dyDescent="0.3">
      <c r="A126" s="8" t="s">
        <v>128</v>
      </c>
      <c r="B126" s="8" t="s">
        <v>129</v>
      </c>
      <c r="C126" s="8"/>
    </row>
    <row r="127" spans="1:3" x14ac:dyDescent="0.3">
      <c r="A127" s="8"/>
    </row>
    <row r="128" spans="1:3" x14ac:dyDescent="0.3">
      <c r="A128" s="23" t="s">
        <v>130</v>
      </c>
    </row>
    <row r="129" spans="1:4" ht="202.8" x14ac:dyDescent="0.3">
      <c r="A129" s="8" t="s">
        <v>131</v>
      </c>
    </row>
    <row r="130" spans="1:4" x14ac:dyDescent="0.3">
      <c r="A130" s="8"/>
    </row>
    <row r="131" spans="1:4" x14ac:dyDescent="0.3">
      <c r="A131" s="14" t="s">
        <v>132</v>
      </c>
      <c r="B131" s="8"/>
      <c r="C131" s="8"/>
    </row>
    <row r="132" spans="1:4" x14ac:dyDescent="0.3">
      <c r="A132" s="24">
        <v>8.2500000000000004E-2</v>
      </c>
      <c r="B132" s="8"/>
      <c r="C132" s="8"/>
    </row>
    <row r="133" spans="1:4" x14ac:dyDescent="0.3">
      <c r="A133" s="8"/>
      <c r="B133" s="8"/>
      <c r="C133" s="8"/>
    </row>
    <row r="134" spans="1:4" x14ac:dyDescent="0.3">
      <c r="A134" s="14" t="s">
        <v>46</v>
      </c>
      <c r="B134" s="14" t="s">
        <v>9</v>
      </c>
      <c r="C134" s="14" t="s">
        <v>138</v>
      </c>
      <c r="D134" s="14" t="s">
        <v>137</v>
      </c>
    </row>
    <row r="135" spans="1:4" x14ac:dyDescent="0.3">
      <c r="A135" s="8" t="s">
        <v>13</v>
      </c>
      <c r="B135" s="8">
        <v>24.99</v>
      </c>
      <c r="C135" s="9">
        <f>B135*(1+A132)</f>
        <v>27.051674999999999</v>
      </c>
      <c r="D135" s="9">
        <f>B135*(1+$A$132)</f>
        <v>27.051674999999999</v>
      </c>
    </row>
    <row r="136" spans="1:4" x14ac:dyDescent="0.3">
      <c r="A136" s="8" t="s">
        <v>133</v>
      </c>
      <c r="B136" s="8">
        <v>15.5</v>
      </c>
      <c r="C136" s="9">
        <f>B136*(1+A133)</f>
        <v>15.5</v>
      </c>
      <c r="D136" s="9">
        <f t="shared" ref="D136:D139" si="4">B136*(1+$A$132)</f>
        <v>16.778749999999999</v>
      </c>
    </row>
    <row r="137" spans="1:4" x14ac:dyDescent="0.3">
      <c r="A137" s="8" t="s">
        <v>134</v>
      </c>
      <c r="B137" s="8">
        <v>89</v>
      </c>
      <c r="C137" s="9" t="e">
        <f>B137*(1+A134)</f>
        <v>#VALUE!</v>
      </c>
      <c r="D137" s="9">
        <f t="shared" si="4"/>
        <v>96.342500000000001</v>
      </c>
    </row>
    <row r="138" spans="1:4" x14ac:dyDescent="0.3">
      <c r="A138" s="8" t="s">
        <v>135</v>
      </c>
      <c r="B138" s="8">
        <v>5.25</v>
      </c>
      <c r="C138" s="9" t="e">
        <f t="shared" ref="C138:C139" si="5">B138*(1+A135)</f>
        <v>#VALUE!</v>
      </c>
      <c r="D138" s="9">
        <f t="shared" si="4"/>
        <v>5.6831250000000004</v>
      </c>
    </row>
    <row r="139" spans="1:4" x14ac:dyDescent="0.3">
      <c r="A139" s="8" t="s">
        <v>136</v>
      </c>
      <c r="B139" s="8">
        <v>12.75</v>
      </c>
      <c r="C139" s="9" t="e">
        <f t="shared" si="5"/>
        <v>#VALUE!</v>
      </c>
      <c r="D139" s="9">
        <f t="shared" si="4"/>
        <v>13.801875000000001</v>
      </c>
    </row>
    <row r="140" spans="1:4" x14ac:dyDescent="0.3">
      <c r="A140" s="8"/>
    </row>
    <row r="141" spans="1:4" x14ac:dyDescent="0.3">
      <c r="A141" s="18" t="s">
        <v>139</v>
      </c>
    </row>
    <row r="142" spans="1:4" ht="93.6" x14ac:dyDescent="0.3">
      <c r="A142" s="8" t="s">
        <v>140</v>
      </c>
    </row>
    <row r="143" spans="1:4" x14ac:dyDescent="0.3">
      <c r="A143" s="8"/>
    </row>
    <row r="144" spans="1:4" x14ac:dyDescent="0.3">
      <c r="A144" s="14" t="s">
        <v>87</v>
      </c>
      <c r="B144" s="14" t="s">
        <v>141</v>
      </c>
      <c r="C144" s="14" t="s">
        <v>142</v>
      </c>
    </row>
    <row r="145" spans="1:3" x14ac:dyDescent="0.3">
      <c r="A145" s="8" t="s">
        <v>119</v>
      </c>
      <c r="B145" s="25">
        <v>150000</v>
      </c>
      <c r="C145" s="26">
        <f>B145/$B$150</f>
        <v>0.15</v>
      </c>
    </row>
    <row r="146" spans="1:3" x14ac:dyDescent="0.3">
      <c r="A146" s="8" t="s">
        <v>96</v>
      </c>
      <c r="B146" s="25">
        <v>400000</v>
      </c>
      <c r="C146" s="26">
        <f>B146/$B$150</f>
        <v>0.4</v>
      </c>
    </row>
    <row r="147" spans="1:3" x14ac:dyDescent="0.3">
      <c r="A147" s="8" t="s">
        <v>90</v>
      </c>
      <c r="B147" s="25">
        <v>250000</v>
      </c>
      <c r="C147" s="26">
        <f>B147/$B$150</f>
        <v>0.25</v>
      </c>
    </row>
    <row r="148" spans="1:3" x14ac:dyDescent="0.3">
      <c r="A148" s="8" t="s">
        <v>143</v>
      </c>
      <c r="B148" s="25">
        <v>180000</v>
      </c>
      <c r="C148" s="26">
        <f>B148/$B$150</f>
        <v>0.18</v>
      </c>
    </row>
    <row r="149" spans="1:3" x14ac:dyDescent="0.3">
      <c r="A149" s="8" t="s">
        <v>116</v>
      </c>
      <c r="B149" s="25">
        <v>20000</v>
      </c>
      <c r="C149" s="26">
        <f>B149/$B$150</f>
        <v>0.02</v>
      </c>
    </row>
    <row r="150" spans="1:3" x14ac:dyDescent="0.3">
      <c r="A150" s="8" t="s">
        <v>144</v>
      </c>
      <c r="B150" s="27">
        <f>SUM(B145:B149)</f>
        <v>1000000</v>
      </c>
      <c r="C150" s="19"/>
    </row>
    <row r="151" spans="1:3" x14ac:dyDescent="0.3">
      <c r="A151" s="8"/>
      <c r="B151" s="8"/>
    </row>
    <row r="152" spans="1:3" x14ac:dyDescent="0.3">
      <c r="A152" s="23" t="s">
        <v>145</v>
      </c>
      <c r="B152" s="8"/>
    </row>
    <row r="153" spans="1:3" ht="156" x14ac:dyDescent="0.3">
      <c r="A153" s="8" t="s">
        <v>146</v>
      </c>
      <c r="B153" s="8"/>
    </row>
    <row r="154" spans="1:3" x14ac:dyDescent="0.3">
      <c r="A154" s="8" t="s">
        <v>147</v>
      </c>
      <c r="B154" s="8" t="s">
        <v>148</v>
      </c>
      <c r="C154" s="9" t="str">
        <f>_xlfn.CONCAT(A154," ",B154)</f>
        <v>John Doe</v>
      </c>
    </row>
    <row r="155" spans="1:3" x14ac:dyDescent="0.3">
      <c r="A155" s="8" t="s">
        <v>149</v>
      </c>
      <c r="B155" s="8" t="s">
        <v>150</v>
      </c>
      <c r="C155" s="9" t="str">
        <f t="shared" ref="C155:C161" si="6">_xlfn.CONCAT(A155," ",B155)</f>
        <v>Nicole Rogers</v>
      </c>
    </row>
    <row r="156" spans="1:3" x14ac:dyDescent="0.3">
      <c r="A156" s="8" t="s">
        <v>151</v>
      </c>
      <c r="B156" s="8" t="s">
        <v>152</v>
      </c>
      <c r="C156" s="9" t="str">
        <f t="shared" si="6"/>
        <v>Liam Simpson</v>
      </c>
    </row>
    <row r="157" spans="1:3" x14ac:dyDescent="0.3">
      <c r="A157" s="8" t="s">
        <v>153</v>
      </c>
      <c r="B157" s="8" t="s">
        <v>154</v>
      </c>
      <c r="C157" s="9" t="str">
        <f t="shared" si="6"/>
        <v>Peter Stein</v>
      </c>
    </row>
    <row r="158" spans="1:3" x14ac:dyDescent="0.3">
      <c r="A158" s="8" t="s">
        <v>155</v>
      </c>
      <c r="B158" s="8" t="s">
        <v>156</v>
      </c>
      <c r="C158" s="9" t="str">
        <f t="shared" si="6"/>
        <v>Anthony Newton</v>
      </c>
    </row>
    <row r="159" spans="1:3" x14ac:dyDescent="0.3">
      <c r="A159" s="8" t="s">
        <v>157</v>
      </c>
      <c r="B159" s="8" t="s">
        <v>158</v>
      </c>
      <c r="C159" s="9" t="str">
        <f t="shared" si="6"/>
        <v>Lydia Ross</v>
      </c>
    </row>
    <row r="160" spans="1:3" x14ac:dyDescent="0.3">
      <c r="A160" s="8" t="s">
        <v>159</v>
      </c>
      <c r="B160" s="8" t="s">
        <v>160</v>
      </c>
      <c r="C160" s="9" t="str">
        <f t="shared" si="6"/>
        <v>Emmy Watts</v>
      </c>
    </row>
    <row r="161" spans="1:4" x14ac:dyDescent="0.3">
      <c r="A161" s="8" t="s">
        <v>161</v>
      </c>
      <c r="B161" s="8" t="s">
        <v>162</v>
      </c>
      <c r="C161" s="9" t="str">
        <f t="shared" si="6"/>
        <v>David Fraser</v>
      </c>
    </row>
    <row r="162" spans="1:4" x14ac:dyDescent="0.3">
      <c r="A162" s="8"/>
    </row>
    <row r="163" spans="1:4" x14ac:dyDescent="0.3">
      <c r="A163" s="23" t="s">
        <v>164</v>
      </c>
    </row>
    <row r="164" spans="1:4" x14ac:dyDescent="0.3">
      <c r="A164" s="8"/>
    </row>
    <row r="165" spans="1:4" x14ac:dyDescent="0.3">
      <c r="A165" s="8" t="s">
        <v>163</v>
      </c>
    </row>
    <row r="166" spans="1:4" x14ac:dyDescent="0.3">
      <c r="A166" s="8"/>
    </row>
    <row r="167" spans="1:4" ht="78" x14ac:dyDescent="0.3">
      <c r="A167" s="8" t="s">
        <v>165</v>
      </c>
    </row>
    <row r="168" spans="1:4" x14ac:dyDescent="0.3">
      <c r="A168" s="8"/>
    </row>
    <row r="169" spans="1:4" x14ac:dyDescent="0.3">
      <c r="A169" s="14" t="s">
        <v>166</v>
      </c>
      <c r="B169" s="28" t="s">
        <v>198</v>
      </c>
      <c r="C169" s="14" t="s">
        <v>167</v>
      </c>
      <c r="D169" s="28" t="s">
        <v>199</v>
      </c>
    </row>
    <row r="170" spans="1:4" x14ac:dyDescent="0.3">
      <c r="A170" s="8" t="s">
        <v>168</v>
      </c>
      <c r="B170" s="9" t="s">
        <v>169</v>
      </c>
      <c r="C170" s="8" t="s">
        <v>170</v>
      </c>
      <c r="D170" s="9" t="s">
        <v>170</v>
      </c>
    </row>
    <row r="171" spans="1:4" x14ac:dyDescent="0.3">
      <c r="A171" s="8" t="s">
        <v>171</v>
      </c>
      <c r="B171" s="9" t="s">
        <v>172</v>
      </c>
      <c r="C171" s="8" t="s">
        <v>173</v>
      </c>
      <c r="D171" s="9" t="s">
        <v>173</v>
      </c>
    </row>
    <row r="172" spans="1:4" ht="31.2" x14ac:dyDescent="0.3">
      <c r="A172" s="8" t="s">
        <v>174</v>
      </c>
      <c r="B172" s="9" t="s">
        <v>175</v>
      </c>
      <c r="C172" s="8" t="s">
        <v>176</v>
      </c>
      <c r="D172" s="9" t="s">
        <v>176</v>
      </c>
    </row>
    <row r="173" spans="1:4" x14ac:dyDescent="0.3">
      <c r="A173" s="8" t="s">
        <v>177</v>
      </c>
      <c r="B173" s="9" t="s">
        <v>178</v>
      </c>
      <c r="C173" s="8" t="s">
        <v>179</v>
      </c>
      <c r="D173" s="9" t="s">
        <v>179</v>
      </c>
    </row>
    <row r="174" spans="1:4" x14ac:dyDescent="0.3">
      <c r="A174" s="8" t="s">
        <v>180</v>
      </c>
      <c r="B174" s="9" t="s">
        <v>181</v>
      </c>
      <c r="C174" s="8" t="s">
        <v>182</v>
      </c>
      <c r="D174" s="9" t="s">
        <v>182</v>
      </c>
    </row>
    <row r="175" spans="1:4" ht="31.2" x14ac:dyDescent="0.3">
      <c r="A175" s="8" t="s">
        <v>183</v>
      </c>
      <c r="B175" s="9" t="s">
        <v>184</v>
      </c>
      <c r="C175" s="8" t="s">
        <v>185</v>
      </c>
      <c r="D175" s="9" t="s">
        <v>185</v>
      </c>
    </row>
    <row r="176" spans="1:4" x14ac:dyDescent="0.3">
      <c r="A176" s="8" t="s">
        <v>186</v>
      </c>
      <c r="B176" s="9" t="s">
        <v>187</v>
      </c>
      <c r="C176" s="8" t="s">
        <v>188</v>
      </c>
      <c r="D176" s="9" t="s">
        <v>188</v>
      </c>
    </row>
    <row r="177" spans="1:4" ht="31.2" x14ac:dyDescent="0.3">
      <c r="A177" s="8" t="s">
        <v>189</v>
      </c>
      <c r="B177" s="9" t="s">
        <v>190</v>
      </c>
      <c r="C177" s="8" t="s">
        <v>191</v>
      </c>
      <c r="D177" s="9" t="s">
        <v>191</v>
      </c>
    </row>
    <row r="178" spans="1:4" x14ac:dyDescent="0.3">
      <c r="A178" s="8" t="s">
        <v>192</v>
      </c>
      <c r="B178" s="9" t="s">
        <v>193</v>
      </c>
      <c r="C178" s="8" t="s">
        <v>194</v>
      </c>
      <c r="D178" s="9" t="s">
        <v>194</v>
      </c>
    </row>
    <row r="179" spans="1:4" x14ac:dyDescent="0.3">
      <c r="A179" s="8" t="s">
        <v>195</v>
      </c>
      <c r="B179" s="9" t="s">
        <v>196</v>
      </c>
      <c r="C179" s="8" t="s">
        <v>197</v>
      </c>
      <c r="D179" s="9" t="s">
        <v>197</v>
      </c>
    </row>
    <row r="181" spans="1:4" x14ac:dyDescent="0.3">
      <c r="A181" s="23" t="s">
        <v>200</v>
      </c>
    </row>
    <row r="182" spans="1:4" ht="109.2" x14ac:dyDescent="0.3">
      <c r="A182" s="5" t="s">
        <v>201</v>
      </c>
    </row>
    <row r="183" spans="1:4" x14ac:dyDescent="0.3">
      <c r="A183" s="11" t="s">
        <v>202</v>
      </c>
      <c r="B183" s="11" t="s">
        <v>203</v>
      </c>
    </row>
    <row r="184" spans="1:4" x14ac:dyDescent="0.3">
      <c r="A184" s="8" t="s">
        <v>204</v>
      </c>
      <c r="B184" s="29" t="str">
        <f>LEFT(A184,3)</f>
        <v>FIN</v>
      </c>
    </row>
    <row r="185" spans="1:4" x14ac:dyDescent="0.3">
      <c r="A185" s="8" t="s">
        <v>205</v>
      </c>
      <c r="B185" s="29" t="str">
        <f t="shared" ref="B185:B190" si="7">LEFT(A185,3)</f>
        <v>MKT</v>
      </c>
    </row>
    <row r="186" spans="1:4" x14ac:dyDescent="0.3">
      <c r="A186" s="8" t="s">
        <v>206</v>
      </c>
      <c r="B186" s="29" t="str">
        <f t="shared" si="7"/>
        <v>OPS</v>
      </c>
    </row>
    <row r="187" spans="1:4" x14ac:dyDescent="0.3">
      <c r="A187" s="8" t="s">
        <v>207</v>
      </c>
      <c r="B187" s="29" t="str">
        <f t="shared" si="7"/>
        <v>HRD</v>
      </c>
    </row>
    <row r="188" spans="1:4" x14ac:dyDescent="0.3">
      <c r="A188" s="8" t="s">
        <v>208</v>
      </c>
      <c r="B188" s="29" t="str">
        <f t="shared" si="7"/>
        <v>ITS</v>
      </c>
    </row>
    <row r="189" spans="1:4" x14ac:dyDescent="0.3">
      <c r="A189" s="8" t="s">
        <v>209</v>
      </c>
      <c r="B189" s="29" t="str">
        <f t="shared" si="7"/>
        <v>SLS</v>
      </c>
    </row>
    <row r="190" spans="1:4" x14ac:dyDescent="0.3">
      <c r="A190" s="8" t="s">
        <v>210</v>
      </c>
      <c r="B190" s="29" t="str">
        <f t="shared" si="7"/>
        <v>ADM</v>
      </c>
    </row>
    <row r="192" spans="1:4" x14ac:dyDescent="0.3">
      <c r="A192" s="23" t="s">
        <v>217</v>
      </c>
    </row>
    <row r="193" spans="1:5" x14ac:dyDescent="0.3">
      <c r="A193" s="3" t="s">
        <v>216</v>
      </c>
    </row>
    <row r="194" spans="1:5" ht="31.2" x14ac:dyDescent="0.3">
      <c r="A194" s="5" t="s">
        <v>218</v>
      </c>
    </row>
    <row r="195" spans="1:5" x14ac:dyDescent="0.3">
      <c r="A195" s="8" t="s">
        <v>219</v>
      </c>
      <c r="B195" s="8" t="s">
        <v>220</v>
      </c>
      <c r="C195" s="8" t="s">
        <v>221</v>
      </c>
    </row>
    <row r="196" spans="1:5" x14ac:dyDescent="0.3">
      <c r="A196" s="8" t="s">
        <v>222</v>
      </c>
      <c r="B196" s="8">
        <v>96</v>
      </c>
      <c r="C196" s="29" t="str">
        <f>IF(B196&gt;60,"Pass","Fail")</f>
        <v>Pass</v>
      </c>
    </row>
    <row r="197" spans="1:5" x14ac:dyDescent="0.3">
      <c r="A197" s="8" t="s">
        <v>223</v>
      </c>
      <c r="B197" s="8">
        <v>43</v>
      </c>
      <c r="C197" s="29" t="str">
        <f t="shared" ref="C197:C200" si="8">IF(B197&gt;60,"Pass","Fail")</f>
        <v>Fail</v>
      </c>
    </row>
    <row r="198" spans="1:5" x14ac:dyDescent="0.3">
      <c r="A198" s="8" t="s">
        <v>224</v>
      </c>
      <c r="B198" s="8">
        <v>20</v>
      </c>
      <c r="C198" s="29" t="str">
        <f t="shared" si="8"/>
        <v>Fail</v>
      </c>
    </row>
    <row r="199" spans="1:5" x14ac:dyDescent="0.3">
      <c r="A199" s="8" t="s">
        <v>225</v>
      </c>
      <c r="B199" s="8">
        <v>77</v>
      </c>
      <c r="C199" s="29" t="str">
        <f t="shared" si="8"/>
        <v>Pass</v>
      </c>
    </row>
    <row r="200" spans="1:5" x14ac:dyDescent="0.3">
      <c r="A200" s="8" t="s">
        <v>226</v>
      </c>
      <c r="B200" s="8">
        <v>76</v>
      </c>
      <c r="C200" s="29" t="str">
        <f t="shared" si="8"/>
        <v>Pass</v>
      </c>
    </row>
    <row r="202" spans="1:5" ht="93.6" x14ac:dyDescent="0.3">
      <c r="A202" s="5" t="s">
        <v>227</v>
      </c>
    </row>
    <row r="203" spans="1:5" x14ac:dyDescent="0.3">
      <c r="A203" s="8" t="s">
        <v>8</v>
      </c>
      <c r="B203" s="8"/>
      <c r="C203" s="8" t="s">
        <v>228</v>
      </c>
      <c r="D203" s="8" t="s">
        <v>229</v>
      </c>
    </row>
    <row r="204" spans="1:5" x14ac:dyDescent="0.3">
      <c r="A204" s="8">
        <v>0</v>
      </c>
      <c r="B204" s="8"/>
      <c r="C204" s="8" t="s">
        <v>230</v>
      </c>
      <c r="D204" s="9" t="str">
        <f>IF(OR(AND(A2&gt;15,A2&lt;30),A2 &gt; 55),"Yes","No")</f>
        <v>No</v>
      </c>
      <c r="E204" s="3" t="str">
        <f ca="1">_xlfn.FORMULATEXT(D204)</f>
        <v>=IF(OR(AND(A2&gt;15,A2&lt;30),A2 &gt; 55),"Yes","No")</v>
      </c>
    </row>
    <row r="205" spans="1:5" x14ac:dyDescent="0.3">
      <c r="A205" s="8">
        <v>15</v>
      </c>
      <c r="B205" s="8"/>
      <c r="C205" s="8" t="s">
        <v>230</v>
      </c>
      <c r="D205" s="9" t="str">
        <f t="shared" ref="D205:D210" si="9">IF(OR(AND(A3&gt;15,A3&lt;30),A3 &gt; 55),"Yes","No")</f>
        <v>No</v>
      </c>
    </row>
    <row r="206" spans="1:5" x14ac:dyDescent="0.3">
      <c r="A206" s="8">
        <v>16</v>
      </c>
      <c r="B206" s="8"/>
      <c r="C206" s="8" t="s">
        <v>231</v>
      </c>
      <c r="D206" s="9" t="str">
        <f t="shared" si="9"/>
        <v>No</v>
      </c>
    </row>
    <row r="207" spans="1:5" x14ac:dyDescent="0.3">
      <c r="A207" s="8">
        <v>29</v>
      </c>
      <c r="B207" s="8"/>
      <c r="C207" s="8" t="s">
        <v>231</v>
      </c>
      <c r="D207" s="9" t="str">
        <f t="shared" si="9"/>
        <v>No</v>
      </c>
    </row>
    <row r="208" spans="1:5" x14ac:dyDescent="0.3">
      <c r="A208" s="8">
        <v>30</v>
      </c>
      <c r="B208" s="8"/>
      <c r="C208" s="8" t="s">
        <v>230</v>
      </c>
      <c r="D208" s="9" t="str">
        <f t="shared" si="9"/>
        <v>Yes</v>
      </c>
    </row>
    <row r="209" spans="1:5" x14ac:dyDescent="0.3">
      <c r="A209" s="8">
        <v>55</v>
      </c>
      <c r="B209" s="8"/>
      <c r="C209" s="8" t="s">
        <v>230</v>
      </c>
      <c r="D209" s="9" t="str">
        <f t="shared" si="9"/>
        <v>No</v>
      </c>
    </row>
    <row r="210" spans="1:5" x14ac:dyDescent="0.3">
      <c r="A210" s="8">
        <v>56</v>
      </c>
      <c r="B210" s="8"/>
      <c r="C210" s="8" t="s">
        <v>231</v>
      </c>
      <c r="D210" s="9" t="str">
        <f t="shared" si="9"/>
        <v>Yes</v>
      </c>
    </row>
    <row r="211" spans="1:5" x14ac:dyDescent="0.3">
      <c r="A211" s="5"/>
    </row>
    <row r="212" spans="1:5" x14ac:dyDescent="0.3">
      <c r="A212" s="23" t="s">
        <v>233</v>
      </c>
    </row>
    <row r="213" spans="1:5" x14ac:dyDescent="0.3">
      <c r="A213" s="5" t="s">
        <v>232</v>
      </c>
    </row>
    <row r="214" spans="1:5" ht="109.2" x14ac:dyDescent="0.3">
      <c r="A214" s="5" t="s">
        <v>234</v>
      </c>
    </row>
    <row r="215" spans="1:5" x14ac:dyDescent="0.3">
      <c r="A215" s="11" t="s">
        <v>235</v>
      </c>
      <c r="B215" s="11" t="s">
        <v>236</v>
      </c>
      <c r="C215" s="11" t="s">
        <v>237</v>
      </c>
      <c r="D215" s="11" t="s">
        <v>238</v>
      </c>
      <c r="E215" s="11" t="s">
        <v>251</v>
      </c>
    </row>
    <row r="216" spans="1:5" x14ac:dyDescent="0.3">
      <c r="A216" s="8" t="s">
        <v>239</v>
      </c>
      <c r="B216" s="8" t="s">
        <v>240</v>
      </c>
      <c r="C216" s="22">
        <v>35594</v>
      </c>
      <c r="D216" s="9">
        <f ca="1">DATEDIF(C216,TODAY(),"Y")</f>
        <v>29</v>
      </c>
      <c r="E216" s="9">
        <f ca="1">DATEDIF(C216,TODAY(),"M")</f>
        <v>348</v>
      </c>
    </row>
    <row r="217" spans="1:5" x14ac:dyDescent="0.3">
      <c r="A217" s="8" t="s">
        <v>241</v>
      </c>
      <c r="B217" s="8" t="s">
        <v>242</v>
      </c>
      <c r="C217" s="22">
        <v>33768</v>
      </c>
      <c r="D217" s="9">
        <f t="shared" ref="D217:D221" ca="1" si="10">DATEDIF(C217,TODAY(),"Y")</f>
        <v>34</v>
      </c>
      <c r="E217" s="9">
        <f t="shared" ref="E217:E221" ca="1" si="11">DATEDIF(C217,TODAY(),"M")</f>
        <v>408</v>
      </c>
    </row>
    <row r="218" spans="1:5" x14ac:dyDescent="0.3">
      <c r="A218" s="8" t="s">
        <v>243</v>
      </c>
      <c r="B218" s="8" t="s">
        <v>244</v>
      </c>
      <c r="C218" s="22">
        <v>31211</v>
      </c>
      <c r="D218" s="9">
        <f t="shared" ca="1" si="10"/>
        <v>41</v>
      </c>
      <c r="E218" s="9">
        <f t="shared" ca="1" si="11"/>
        <v>492</v>
      </c>
    </row>
    <row r="219" spans="1:5" x14ac:dyDescent="0.3">
      <c r="A219" s="8" t="s">
        <v>245</v>
      </c>
      <c r="B219" s="8" t="s">
        <v>246</v>
      </c>
      <c r="C219" s="22">
        <v>38151</v>
      </c>
      <c r="D219" s="9">
        <f t="shared" ca="1" si="10"/>
        <v>22</v>
      </c>
      <c r="E219" s="9">
        <f t="shared" ca="1" si="11"/>
        <v>264</v>
      </c>
    </row>
    <row r="220" spans="1:5" x14ac:dyDescent="0.3">
      <c r="A220" s="8" t="s">
        <v>247</v>
      </c>
      <c r="B220" s="8" t="s">
        <v>248</v>
      </c>
      <c r="C220" s="22">
        <v>25002</v>
      </c>
      <c r="D220" s="9">
        <f t="shared" ca="1" si="10"/>
        <v>58</v>
      </c>
      <c r="E220" s="9">
        <f t="shared" ca="1" si="11"/>
        <v>696</v>
      </c>
    </row>
    <row r="221" spans="1:5" x14ac:dyDescent="0.3">
      <c r="A221" s="8" t="s">
        <v>249</v>
      </c>
      <c r="B221" s="8" t="s">
        <v>250</v>
      </c>
      <c r="C221" s="22">
        <v>29750</v>
      </c>
      <c r="D221" s="9">
        <f t="shared" ca="1" si="10"/>
        <v>45</v>
      </c>
      <c r="E221" s="9">
        <f t="shared" ca="1" si="11"/>
        <v>540</v>
      </c>
    </row>
    <row r="223" spans="1:5" x14ac:dyDescent="0.3">
      <c r="A223" s="23" t="s">
        <v>252</v>
      </c>
    </row>
    <row r="224" spans="1:5" ht="78" x14ac:dyDescent="0.3">
      <c r="A224" s="5" t="s">
        <v>253</v>
      </c>
    </row>
    <row r="225" spans="1:3" ht="109.2" x14ac:dyDescent="0.3">
      <c r="A225" s="5" t="s">
        <v>254</v>
      </c>
    </row>
    <row r="226" spans="1:3" x14ac:dyDescent="0.3">
      <c r="A226" s="14" t="s">
        <v>255</v>
      </c>
      <c r="B226" s="14" t="s">
        <v>256</v>
      </c>
      <c r="C226" s="14" t="s">
        <v>47</v>
      </c>
    </row>
    <row r="227" spans="1:3" x14ac:dyDescent="0.3">
      <c r="A227" s="8" t="s">
        <v>257</v>
      </c>
      <c r="B227" s="8" t="s">
        <v>258</v>
      </c>
      <c r="C227" s="8" t="s">
        <v>89</v>
      </c>
    </row>
    <row r="228" spans="1:3" x14ac:dyDescent="0.3">
      <c r="A228" s="8" t="s">
        <v>259</v>
      </c>
      <c r="B228" s="8" t="s">
        <v>260</v>
      </c>
      <c r="C228" s="8" t="s">
        <v>89</v>
      </c>
    </row>
    <row r="229" spans="1:3" x14ac:dyDescent="0.3">
      <c r="A229" s="8" t="s">
        <v>261</v>
      </c>
      <c r="B229" s="8" t="s">
        <v>262</v>
      </c>
      <c r="C229" s="8" t="s">
        <v>263</v>
      </c>
    </row>
    <row r="230" spans="1:3" x14ac:dyDescent="0.3">
      <c r="A230" s="8" t="s">
        <v>264</v>
      </c>
      <c r="B230" s="8" t="s">
        <v>265</v>
      </c>
      <c r="C230" s="8" t="s">
        <v>89</v>
      </c>
    </row>
    <row r="231" spans="1:3" x14ac:dyDescent="0.3">
      <c r="A231" s="8" t="s">
        <v>266</v>
      </c>
      <c r="B231" s="8" t="s">
        <v>267</v>
      </c>
      <c r="C231" s="8" t="s">
        <v>89</v>
      </c>
    </row>
    <row r="232" spans="1:3" x14ac:dyDescent="0.3">
      <c r="A232" s="8" t="s">
        <v>268</v>
      </c>
      <c r="B232" s="8" t="s">
        <v>269</v>
      </c>
      <c r="C232" s="8" t="s">
        <v>263</v>
      </c>
    </row>
    <row r="233" spans="1:3" x14ac:dyDescent="0.3">
      <c r="A233" s="8" t="s">
        <v>270</v>
      </c>
      <c r="B233" s="8" t="s">
        <v>271</v>
      </c>
      <c r="C233" s="8" t="s">
        <v>89</v>
      </c>
    </row>
    <row r="234" spans="1:3" x14ac:dyDescent="0.3">
      <c r="A234" s="8"/>
      <c r="B234" s="8"/>
      <c r="C234" s="8"/>
    </row>
    <row r="235" spans="1:3" x14ac:dyDescent="0.3">
      <c r="A235" s="19" t="s">
        <v>272</v>
      </c>
      <c r="B235" s="8" t="s">
        <v>261</v>
      </c>
      <c r="C235" s="8"/>
    </row>
    <row r="236" spans="1:3" x14ac:dyDescent="0.3">
      <c r="A236" s="19" t="s">
        <v>47</v>
      </c>
      <c r="B236" s="9" t="str">
        <f>_xlfn.XLOOKUP(B235,A227:A233,C227:C233,0)</f>
        <v>Office equipment</v>
      </c>
      <c r="C236" s="30" t="str">
        <f ca="1">_xlfn.FORMULATEXT(B236)</f>
        <v>=XLOOKUP(B235,A227:A233,C227:C233,0)</v>
      </c>
    </row>
    <row r="237" spans="1:3" x14ac:dyDescent="0.3">
      <c r="C237" s="30"/>
    </row>
    <row r="238" spans="1:3" x14ac:dyDescent="0.3">
      <c r="A238" s="23" t="s">
        <v>274</v>
      </c>
    </row>
    <row r="239" spans="1:3" ht="78" x14ac:dyDescent="0.3">
      <c r="A239" s="5" t="s">
        <v>273</v>
      </c>
    </row>
    <row r="241" spans="1:3" x14ac:dyDescent="0.3">
      <c r="A241" s="14" t="s">
        <v>202</v>
      </c>
      <c r="B241" s="14" t="s">
        <v>275</v>
      </c>
      <c r="C241" s="14" t="s">
        <v>276</v>
      </c>
    </row>
    <row r="242" spans="1:3" x14ac:dyDescent="0.3">
      <c r="A242" s="8" t="s">
        <v>277</v>
      </c>
      <c r="B242" s="8" t="s">
        <v>278</v>
      </c>
      <c r="C242" s="8">
        <v>342</v>
      </c>
    </row>
    <row r="243" spans="1:3" x14ac:dyDescent="0.3">
      <c r="A243" s="8" t="s">
        <v>279</v>
      </c>
      <c r="B243" s="8" t="s">
        <v>280</v>
      </c>
      <c r="C243" s="8">
        <v>128</v>
      </c>
    </row>
    <row r="244" spans="1:3" x14ac:dyDescent="0.3">
      <c r="A244" s="8" t="s">
        <v>281</v>
      </c>
      <c r="B244" s="8" t="s">
        <v>282</v>
      </c>
      <c r="C244" s="8">
        <v>56</v>
      </c>
    </row>
    <row r="245" spans="1:3" x14ac:dyDescent="0.3">
      <c r="A245" s="8" t="s">
        <v>283</v>
      </c>
      <c r="B245" s="8" t="s">
        <v>284</v>
      </c>
      <c r="C245" s="8">
        <v>89</v>
      </c>
    </row>
    <row r="246" spans="1:3" x14ac:dyDescent="0.3">
      <c r="A246" s="8" t="s">
        <v>285</v>
      </c>
      <c r="B246" s="8" t="s">
        <v>286</v>
      </c>
      <c r="C246" s="8">
        <v>203</v>
      </c>
    </row>
    <row r="247" spans="1:3" x14ac:dyDescent="0.3">
      <c r="A247" s="8" t="s">
        <v>287</v>
      </c>
      <c r="B247" s="8" t="s">
        <v>288</v>
      </c>
      <c r="C247" s="8">
        <v>74</v>
      </c>
    </row>
    <row r="248" spans="1:3" x14ac:dyDescent="0.3">
      <c r="A248" s="8" t="s">
        <v>289</v>
      </c>
      <c r="B248" s="8" t="s">
        <v>290</v>
      </c>
      <c r="C248" s="8">
        <v>165</v>
      </c>
    </row>
    <row r="249" spans="1:3" x14ac:dyDescent="0.3">
      <c r="A249" s="8"/>
      <c r="B249" s="8"/>
      <c r="C249" s="8"/>
    </row>
    <row r="250" spans="1:3" x14ac:dyDescent="0.3">
      <c r="A250" s="14" t="s">
        <v>202</v>
      </c>
      <c r="B250" s="14" t="s">
        <v>275</v>
      </c>
      <c r="C250" s="14" t="s">
        <v>291</v>
      </c>
    </row>
    <row r="251" spans="1:3" x14ac:dyDescent="0.3">
      <c r="A251" s="8" t="s">
        <v>283</v>
      </c>
      <c r="B251" s="8" t="s">
        <v>284</v>
      </c>
      <c r="C251" s="9">
        <f>_xlfn.XLOOKUP(A251,A$242:A$248,$C$242:$C$248,0)</f>
        <v>89</v>
      </c>
    </row>
    <row r="252" spans="1:3" x14ac:dyDescent="0.3">
      <c r="A252" s="8" t="s">
        <v>277</v>
      </c>
      <c r="B252" s="8" t="s">
        <v>278</v>
      </c>
      <c r="C252" s="9">
        <f t="shared" ref="C252:C254" si="12">_xlfn.XLOOKUP(A252,A$242:A$248,$C$242:$C$248,0)</f>
        <v>342</v>
      </c>
    </row>
    <row r="253" spans="1:3" x14ac:dyDescent="0.3">
      <c r="A253" s="8" t="s">
        <v>289</v>
      </c>
      <c r="B253" s="8" t="s">
        <v>290</v>
      </c>
      <c r="C253" s="9">
        <f t="shared" si="12"/>
        <v>165</v>
      </c>
    </row>
    <row r="254" spans="1:3" x14ac:dyDescent="0.3">
      <c r="A254" s="8" t="s">
        <v>285</v>
      </c>
      <c r="B254" s="8" t="s">
        <v>286</v>
      </c>
      <c r="C254" s="9">
        <f t="shared" si="12"/>
        <v>203</v>
      </c>
    </row>
    <row r="256" spans="1:3" x14ac:dyDescent="0.3">
      <c r="B256" s="31" t="str">
        <f ca="1">_xlfn.FORMULATEXT(C251)</f>
        <v>=XLOOKUP(A251,A$242:A$248,$C$242:$C$248,0)</v>
      </c>
      <c r="C256" s="31"/>
    </row>
    <row r="258" spans="1:4" x14ac:dyDescent="0.3">
      <c r="A258" s="23" t="s">
        <v>292</v>
      </c>
    </row>
    <row r="259" spans="1:4" x14ac:dyDescent="0.3">
      <c r="A259" s="3" t="s">
        <v>216</v>
      </c>
    </row>
    <row r="260" spans="1:4" ht="62.4" x14ac:dyDescent="0.3">
      <c r="A260" s="5" t="s">
        <v>293</v>
      </c>
    </row>
    <row r="261" spans="1:4" x14ac:dyDescent="0.3">
      <c r="A261" s="14" t="s">
        <v>113</v>
      </c>
      <c r="B261" s="14" t="s">
        <v>294</v>
      </c>
      <c r="C261" s="14" t="s">
        <v>295</v>
      </c>
      <c r="D261" s="14" t="s">
        <v>296</v>
      </c>
    </row>
    <row r="262" spans="1:4" x14ac:dyDescent="0.3">
      <c r="A262" s="8" t="s">
        <v>297</v>
      </c>
      <c r="B262" s="25">
        <v>52000</v>
      </c>
      <c r="C262" s="25">
        <v>50000</v>
      </c>
      <c r="D262" s="32">
        <f>IF(B262&gt;C262,B262*10%,0)</f>
        <v>5200</v>
      </c>
    </row>
    <row r="263" spans="1:4" x14ac:dyDescent="0.3">
      <c r="A263" s="8" t="s">
        <v>298</v>
      </c>
      <c r="B263" s="25">
        <v>48000</v>
      </c>
      <c r="C263" s="25">
        <v>50000</v>
      </c>
      <c r="D263" s="32">
        <f t="shared" ref="D263:D268" si="13">IF(B263&gt;C263,B263*10%,0)</f>
        <v>0</v>
      </c>
    </row>
    <row r="264" spans="1:4" x14ac:dyDescent="0.3">
      <c r="A264" s="8" t="s">
        <v>299</v>
      </c>
      <c r="B264" s="25">
        <v>50000</v>
      </c>
      <c r="C264" s="25">
        <v>50000</v>
      </c>
      <c r="D264" s="32">
        <f t="shared" si="13"/>
        <v>0</v>
      </c>
    </row>
    <row r="265" spans="1:4" x14ac:dyDescent="0.3">
      <c r="A265" s="8" t="s">
        <v>225</v>
      </c>
      <c r="B265" s="25">
        <v>61000</v>
      </c>
      <c r="C265" s="25">
        <v>60000</v>
      </c>
      <c r="D265" s="32">
        <f t="shared" si="13"/>
        <v>6100</v>
      </c>
    </row>
    <row r="266" spans="1:4" x14ac:dyDescent="0.3">
      <c r="A266" s="8" t="s">
        <v>300</v>
      </c>
      <c r="B266" s="25">
        <v>39900</v>
      </c>
      <c r="C266" s="25">
        <v>35000</v>
      </c>
      <c r="D266" s="32">
        <f t="shared" si="13"/>
        <v>3990</v>
      </c>
    </row>
    <row r="267" spans="1:4" x14ac:dyDescent="0.3">
      <c r="A267" s="8" t="s">
        <v>301</v>
      </c>
      <c r="B267" s="25">
        <v>27500</v>
      </c>
      <c r="C267" s="25">
        <v>30000</v>
      </c>
      <c r="D267" s="32">
        <f t="shared" si="13"/>
        <v>0</v>
      </c>
    </row>
    <row r="268" spans="1:4" x14ac:dyDescent="0.3">
      <c r="A268" s="8" t="s">
        <v>302</v>
      </c>
      <c r="B268" s="25">
        <v>74500</v>
      </c>
      <c r="C268" s="25">
        <v>70000</v>
      </c>
      <c r="D268" s="32">
        <f t="shared" si="13"/>
        <v>7450</v>
      </c>
    </row>
    <row r="269" spans="1:4" x14ac:dyDescent="0.3">
      <c r="D269" s="3" t="str">
        <f ca="1">_xlfn.FORMULATEXT(D262)</f>
        <v>=IF(B262&gt;C262,B262*10%,0)</v>
      </c>
    </row>
    <row r="270" spans="1:4" x14ac:dyDescent="0.3">
      <c r="A270" s="23" t="s">
        <v>303</v>
      </c>
    </row>
    <row r="271" spans="1:4" x14ac:dyDescent="0.3">
      <c r="A271" s="21" t="s">
        <v>216</v>
      </c>
    </row>
    <row r="272" spans="1:4" ht="78" x14ac:dyDescent="0.3">
      <c r="A272" s="5" t="s">
        <v>304</v>
      </c>
    </row>
    <row r="274" spans="1:4" x14ac:dyDescent="0.3">
      <c r="A274" s="14" t="s">
        <v>305</v>
      </c>
      <c r="B274" s="14" t="s">
        <v>306</v>
      </c>
      <c r="C274" s="14" t="s">
        <v>295</v>
      </c>
      <c r="D274" s="14" t="s">
        <v>307</v>
      </c>
    </row>
    <row r="275" spans="1:4" x14ac:dyDescent="0.3">
      <c r="A275" s="8" t="s">
        <v>297</v>
      </c>
      <c r="B275" s="25">
        <v>12500</v>
      </c>
      <c r="C275" s="25">
        <v>12000</v>
      </c>
      <c r="D275" s="9" t="str">
        <f>IF(B275&gt;=C275,"On Target","Below Target")</f>
        <v>On Target</v>
      </c>
    </row>
    <row r="276" spans="1:4" x14ac:dyDescent="0.3">
      <c r="A276" s="8" t="s">
        <v>298</v>
      </c>
      <c r="B276" s="25">
        <v>9800</v>
      </c>
      <c r="C276" s="25">
        <v>11000</v>
      </c>
      <c r="D276" s="9" t="str">
        <f t="shared" ref="D276:D281" si="14">IF(B276&gt;=C276,"On Target","Below Target")</f>
        <v>Below Target</v>
      </c>
    </row>
    <row r="277" spans="1:4" x14ac:dyDescent="0.3">
      <c r="A277" s="8" t="s">
        <v>299</v>
      </c>
      <c r="B277" s="25">
        <v>15000</v>
      </c>
      <c r="C277" s="25">
        <v>15000</v>
      </c>
      <c r="D277" s="9" t="str">
        <f t="shared" si="14"/>
        <v>On Target</v>
      </c>
    </row>
    <row r="278" spans="1:4" x14ac:dyDescent="0.3">
      <c r="A278" s="8" t="s">
        <v>225</v>
      </c>
      <c r="B278" s="25">
        <v>7200</v>
      </c>
      <c r="C278" s="25">
        <v>7000</v>
      </c>
      <c r="D278" s="9" t="str">
        <f t="shared" si="14"/>
        <v>On Target</v>
      </c>
    </row>
    <row r="279" spans="1:4" x14ac:dyDescent="0.3">
      <c r="A279" s="8" t="s">
        <v>300</v>
      </c>
      <c r="B279" s="25">
        <v>6400</v>
      </c>
      <c r="C279" s="25">
        <v>8000</v>
      </c>
      <c r="D279" s="9" t="str">
        <f t="shared" si="14"/>
        <v>Below Target</v>
      </c>
    </row>
    <row r="280" spans="1:4" x14ac:dyDescent="0.3">
      <c r="A280" s="8" t="s">
        <v>301</v>
      </c>
      <c r="B280" s="25">
        <v>18300</v>
      </c>
      <c r="C280" s="25">
        <v>17500</v>
      </c>
      <c r="D280" s="9" t="str">
        <f t="shared" si="14"/>
        <v>On Target</v>
      </c>
    </row>
    <row r="281" spans="1:4" x14ac:dyDescent="0.3">
      <c r="A281" s="8" t="s">
        <v>302</v>
      </c>
      <c r="B281" s="25">
        <v>10500</v>
      </c>
      <c r="C281" s="25">
        <v>10000</v>
      </c>
      <c r="D281" s="9" t="str">
        <f t="shared" si="14"/>
        <v>On Target</v>
      </c>
    </row>
    <row r="283" spans="1:4" x14ac:dyDescent="0.3">
      <c r="A283" s="23"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4" t="s">
        <v>310</v>
      </c>
      <c r="B294" s="14" t="s">
        <v>311</v>
      </c>
      <c r="C294" s="14" t="s">
        <v>312</v>
      </c>
      <c r="D294" s="14" t="s">
        <v>313</v>
      </c>
    </row>
    <row r="295" spans="1:5" x14ac:dyDescent="0.3">
      <c r="A295" s="8" t="s">
        <v>314</v>
      </c>
      <c r="B295" s="25">
        <v>120000</v>
      </c>
      <c r="C295" s="25">
        <v>135000</v>
      </c>
      <c r="D295" s="26">
        <f>(C295-B295)/B295</f>
        <v>0.125</v>
      </c>
      <c r="E295" s="3" t="str">
        <f ca="1">_xlfn.FORMULATEXT(D295)</f>
        <v>=(C295-B295)/B295</v>
      </c>
    </row>
    <row r="296" spans="1:5" x14ac:dyDescent="0.3">
      <c r="A296" s="8" t="s">
        <v>315</v>
      </c>
      <c r="B296" s="25">
        <v>145000</v>
      </c>
      <c r="C296" s="25">
        <v>160000</v>
      </c>
      <c r="D296" s="26">
        <f t="shared" ref="D296:D299" si="15">(C296-B296)/B296</f>
        <v>0.10344827586206896</v>
      </c>
    </row>
    <row r="297" spans="1:5" x14ac:dyDescent="0.3">
      <c r="A297" s="8" t="s">
        <v>316</v>
      </c>
      <c r="B297" s="25">
        <v>130000</v>
      </c>
      <c r="C297" s="25">
        <v>125000</v>
      </c>
      <c r="D297" s="26">
        <f t="shared" si="15"/>
        <v>-3.8461538461538464E-2</v>
      </c>
    </row>
    <row r="298" spans="1:5" x14ac:dyDescent="0.3">
      <c r="A298" s="8" t="s">
        <v>317</v>
      </c>
      <c r="B298" s="25">
        <v>155000</v>
      </c>
      <c r="C298" s="25">
        <v>170000</v>
      </c>
      <c r="D298" s="26">
        <f t="shared" si="15"/>
        <v>9.6774193548387094E-2</v>
      </c>
    </row>
    <row r="299" spans="1:5" x14ac:dyDescent="0.3">
      <c r="A299" s="19" t="s">
        <v>26</v>
      </c>
      <c r="B299" s="27">
        <f>SUM(B295:B298)</f>
        <v>550000</v>
      </c>
      <c r="C299" s="27">
        <f>SUM(C295:C298)</f>
        <v>590000</v>
      </c>
      <c r="D299" s="26">
        <f t="shared" si="15"/>
        <v>7.2727272727272724E-2</v>
      </c>
    </row>
    <row r="301" spans="1:5" x14ac:dyDescent="0.3">
      <c r="A301" s="23" t="s">
        <v>326</v>
      </c>
    </row>
    <row r="302" spans="1:5" x14ac:dyDescent="0.3">
      <c r="A302" s="8" t="s">
        <v>346</v>
      </c>
    </row>
    <row r="303" spans="1:5" x14ac:dyDescent="0.3">
      <c r="A303" s="33"/>
    </row>
    <row r="304" spans="1:5" x14ac:dyDescent="0.3">
      <c r="A304" s="33" t="s">
        <v>347</v>
      </c>
    </row>
    <row r="305" spans="1:7" x14ac:dyDescent="0.3">
      <c r="A305" s="33" t="s">
        <v>348</v>
      </c>
    </row>
    <row r="306" spans="1:7" x14ac:dyDescent="0.3">
      <c r="A306" s="21"/>
    </row>
    <row r="307" spans="1:7" x14ac:dyDescent="0.3">
      <c r="A307" s="8" t="s">
        <v>327</v>
      </c>
    </row>
    <row r="308" spans="1:7" x14ac:dyDescent="0.3">
      <c r="A308" s="33"/>
    </row>
    <row r="309" spans="1:7" x14ac:dyDescent="0.3">
      <c r="A309" s="33" t="s">
        <v>349</v>
      </c>
    </row>
    <row r="310" spans="1:7" x14ac:dyDescent="0.3">
      <c r="A310" s="33" t="s">
        <v>350</v>
      </c>
    </row>
    <row r="311" spans="1:7" x14ac:dyDescent="0.3">
      <c r="A311" s="33" t="s">
        <v>351</v>
      </c>
    </row>
    <row r="312" spans="1:7" x14ac:dyDescent="0.3">
      <c r="A312" s="34" t="s">
        <v>328</v>
      </c>
    </row>
    <row r="314" spans="1:7" x14ac:dyDescent="0.3">
      <c r="A314" s="11" t="s">
        <v>329</v>
      </c>
      <c r="B314" s="11" t="s">
        <v>330</v>
      </c>
      <c r="C314" s="11" t="s">
        <v>9</v>
      </c>
      <c r="D314" s="11" t="s">
        <v>8</v>
      </c>
      <c r="E314" s="11" t="s">
        <v>331</v>
      </c>
      <c r="F314" s="11"/>
    </row>
    <row r="315" spans="1:7" x14ac:dyDescent="0.3">
      <c r="A315" s="8" t="s">
        <v>332</v>
      </c>
      <c r="B315" s="8" t="s">
        <v>333</v>
      </c>
      <c r="C315" s="8">
        <v>25.2</v>
      </c>
      <c r="D315" s="8">
        <v>100</v>
      </c>
      <c r="E315" s="8" t="s">
        <v>334</v>
      </c>
      <c r="F315" s="9">
        <f>SUMPRODUCT(D315:D322)</f>
        <v>700</v>
      </c>
      <c r="G315" s="3" t="str">
        <f ca="1">_xlfn.FORMULATEXT(F315)</f>
        <v>=SUMPRODUCT(D315:D322)</v>
      </c>
    </row>
    <row r="316" spans="1:7" x14ac:dyDescent="0.3">
      <c r="A316" s="8" t="s">
        <v>335</v>
      </c>
      <c r="B316" s="8" t="s">
        <v>336</v>
      </c>
      <c r="C316" s="8">
        <v>24.2</v>
      </c>
      <c r="D316" s="8">
        <v>120</v>
      </c>
      <c r="E316" s="8" t="s">
        <v>337</v>
      </c>
      <c r="F316" s="9" cm="1">
        <f t="array" ref="F316">SUMPRODUCT(C315:C322*D315:D322)</f>
        <v>16947</v>
      </c>
    </row>
    <row r="317" spans="1:7" ht="31.2" x14ac:dyDescent="0.3">
      <c r="A317" s="8" t="s">
        <v>338</v>
      </c>
      <c r="B317" s="8" t="s">
        <v>339</v>
      </c>
      <c r="C317" s="8">
        <v>23.75</v>
      </c>
      <c r="D317" s="8">
        <v>80</v>
      </c>
      <c r="E317" s="8" t="s">
        <v>340</v>
      </c>
      <c r="F317" s="9">
        <f>F316/F315</f>
        <v>24.21</v>
      </c>
    </row>
    <row r="318" spans="1:7" x14ac:dyDescent="0.3">
      <c r="A318" s="8" t="s">
        <v>341</v>
      </c>
      <c r="B318" s="8" t="s">
        <v>333</v>
      </c>
      <c r="C318" s="8">
        <v>24.1</v>
      </c>
      <c r="D318" s="8">
        <v>150</v>
      </c>
      <c r="E318" s="8"/>
      <c r="F318" s="8"/>
      <c r="G318" s="8"/>
    </row>
    <row r="319" spans="1:7" x14ac:dyDescent="0.3">
      <c r="A319" s="8" t="s">
        <v>342</v>
      </c>
      <c r="B319" s="8" t="s">
        <v>336</v>
      </c>
      <c r="C319" s="8">
        <v>23.9</v>
      </c>
      <c r="D319" s="8">
        <v>60</v>
      </c>
      <c r="E319" s="8"/>
      <c r="F319" s="8"/>
      <c r="G319" s="8"/>
    </row>
    <row r="320" spans="1:7" x14ac:dyDescent="0.3">
      <c r="A320" s="8" t="s">
        <v>343</v>
      </c>
      <c r="B320" s="8" t="s">
        <v>339</v>
      </c>
      <c r="C320" s="8">
        <v>24.8</v>
      </c>
      <c r="D320" s="8">
        <v>40</v>
      </c>
      <c r="E320" s="8"/>
      <c r="F320" s="8"/>
      <c r="G320" s="8"/>
    </row>
    <row r="321" spans="1:7" x14ac:dyDescent="0.3">
      <c r="A321" s="8" t="s">
        <v>344</v>
      </c>
      <c r="B321" s="8" t="s">
        <v>333</v>
      </c>
      <c r="C321" s="8">
        <v>23.6</v>
      </c>
      <c r="D321" s="8">
        <v>90</v>
      </c>
      <c r="E321" s="8"/>
      <c r="F321" s="8"/>
      <c r="G321" s="8"/>
    </row>
    <row r="322" spans="1:7" x14ac:dyDescent="0.3">
      <c r="A322" s="8" t="s">
        <v>345</v>
      </c>
      <c r="B322" s="8" t="s">
        <v>336</v>
      </c>
      <c r="C322" s="8">
        <v>24.3</v>
      </c>
      <c r="D322" s="8">
        <v>60</v>
      </c>
      <c r="E322" s="8"/>
      <c r="F322" s="8"/>
      <c r="G322" s="8"/>
    </row>
    <row r="324" spans="1:7" x14ac:dyDescent="0.3">
      <c r="A324" s="23" t="s">
        <v>352</v>
      </c>
    </row>
    <row r="325" spans="1:7" x14ac:dyDescent="0.3">
      <c r="A325" s="21" t="s">
        <v>353</v>
      </c>
    </row>
    <row r="326" spans="1:7" x14ac:dyDescent="0.3">
      <c r="A326" s="33" t="s">
        <v>365</v>
      </c>
    </row>
    <row r="327" spans="1:7" x14ac:dyDescent="0.3">
      <c r="A327" s="33" t="s">
        <v>366</v>
      </c>
    </row>
    <row r="328" spans="1:7" x14ac:dyDescent="0.3">
      <c r="A328" s="33" t="s">
        <v>367</v>
      </c>
    </row>
    <row r="329" spans="1:7" x14ac:dyDescent="0.3">
      <c r="A329" s="33" t="s">
        <v>368</v>
      </c>
    </row>
    <row r="330" spans="1:7" x14ac:dyDescent="0.3">
      <c r="A330" s="33" t="s">
        <v>369</v>
      </c>
    </row>
    <row r="331" spans="1:7" x14ac:dyDescent="0.3">
      <c r="A331" s="33" t="s">
        <v>370</v>
      </c>
    </row>
    <row r="333" spans="1:7" x14ac:dyDescent="0.3">
      <c r="A333" s="8" t="s">
        <v>354</v>
      </c>
      <c r="B333" s="8"/>
    </row>
    <row r="334" spans="1:7" x14ac:dyDescent="0.3">
      <c r="A334" s="11" t="s">
        <v>235</v>
      </c>
      <c r="B334" s="11" t="s">
        <v>87</v>
      </c>
    </row>
    <row r="335" spans="1:7" x14ac:dyDescent="0.3">
      <c r="A335" s="8">
        <v>1040</v>
      </c>
      <c r="B335" s="8" t="s">
        <v>92</v>
      </c>
    </row>
    <row r="336" spans="1:7" x14ac:dyDescent="0.3">
      <c r="A336" s="8">
        <v>1042</v>
      </c>
      <c r="B336" s="8" t="s">
        <v>116</v>
      </c>
    </row>
    <row r="337" spans="1:3" x14ac:dyDescent="0.3">
      <c r="A337" s="8">
        <v>1051</v>
      </c>
      <c r="B337" s="8" t="s">
        <v>355</v>
      </c>
    </row>
    <row r="338" spans="1:3" x14ac:dyDescent="0.3">
      <c r="A338" s="8">
        <v>1063</v>
      </c>
      <c r="B338" s="8" t="s">
        <v>90</v>
      </c>
    </row>
    <row r="339" spans="1:3" x14ac:dyDescent="0.3">
      <c r="A339" s="8">
        <v>1038</v>
      </c>
      <c r="B339" s="8" t="s">
        <v>356</v>
      </c>
    </row>
    <row r="340" spans="1:3" x14ac:dyDescent="0.3">
      <c r="A340" s="8"/>
      <c r="B340" s="8"/>
    </row>
    <row r="341" spans="1:3" x14ac:dyDescent="0.3">
      <c r="A341" s="8" t="s">
        <v>357</v>
      </c>
      <c r="B341" s="8"/>
    </row>
    <row r="342" spans="1:3" x14ac:dyDescent="0.3">
      <c r="A342" s="11" t="s">
        <v>235</v>
      </c>
      <c r="B342" s="11" t="s">
        <v>358</v>
      </c>
    </row>
    <row r="343" spans="1:3" x14ac:dyDescent="0.3">
      <c r="A343" s="8">
        <v>1042</v>
      </c>
      <c r="B343" s="9" t="str">
        <f>VLOOKUP(A343,$A$335:$B$339,2,0)</f>
        <v>HR</v>
      </c>
      <c r="C343" s="3" t="str">
        <f ca="1">_xlfn.FORMULATEXT(B343)</f>
        <v>=VLOOKUP(A343,$A$335:$B$339,2,0)</v>
      </c>
    </row>
    <row r="344" spans="1:3" x14ac:dyDescent="0.3">
      <c r="A344" s="8">
        <v>1038</v>
      </c>
      <c r="B344" s="9" t="str">
        <f t="shared" ref="B344:B346" si="16">VLOOKUP(A344,$A$335:$B$339,2,0)</f>
        <v>Payroll</v>
      </c>
    </row>
    <row r="345" spans="1:3" x14ac:dyDescent="0.3">
      <c r="A345" s="8">
        <v>1051</v>
      </c>
      <c r="B345" s="9" t="str">
        <f t="shared" si="16"/>
        <v>IT</v>
      </c>
    </row>
    <row r="346" spans="1:3" x14ac:dyDescent="0.3">
      <c r="A346" s="8">
        <v>1040</v>
      </c>
      <c r="B346" s="9" t="str">
        <f t="shared" si="16"/>
        <v>Finance</v>
      </c>
    </row>
    <row r="347" spans="1:3" x14ac:dyDescent="0.3">
      <c r="A347" s="8"/>
    </row>
    <row r="348" spans="1:3" x14ac:dyDescent="0.3">
      <c r="A348" s="23" t="s">
        <v>360</v>
      </c>
    </row>
    <row r="349" spans="1:3" x14ac:dyDescent="0.3">
      <c r="A349" s="21" t="s">
        <v>359</v>
      </c>
    </row>
    <row r="350" spans="1:3" x14ac:dyDescent="0.3">
      <c r="A350" s="33" t="s">
        <v>371</v>
      </c>
    </row>
    <row r="351" spans="1:3" x14ac:dyDescent="0.3">
      <c r="A351" s="33" t="s">
        <v>372</v>
      </c>
    </row>
    <row r="352" spans="1:3" x14ac:dyDescent="0.3">
      <c r="A352" s="33" t="s">
        <v>361</v>
      </c>
    </row>
    <row r="353" spans="1:5" x14ac:dyDescent="0.3">
      <c r="A353" s="33" t="s">
        <v>373</v>
      </c>
    </row>
    <row r="355" spans="1:5" x14ac:dyDescent="0.3">
      <c r="A355" s="11" t="s">
        <v>362</v>
      </c>
      <c r="B355" s="11" t="s">
        <v>314</v>
      </c>
      <c r="C355" s="11" t="s">
        <v>315</v>
      </c>
      <c r="D355" s="11" t="s">
        <v>316</v>
      </c>
      <c r="E355" s="11" t="s">
        <v>317</v>
      </c>
    </row>
    <row r="356" spans="1:5" x14ac:dyDescent="0.3">
      <c r="A356" s="8" t="s">
        <v>363</v>
      </c>
      <c r="B356" s="8">
        <v>85000</v>
      </c>
      <c r="C356" s="8">
        <v>95000</v>
      </c>
      <c r="D356" s="8">
        <v>110000</v>
      </c>
      <c r="E356" s="8">
        <v>120000</v>
      </c>
    </row>
    <row r="357" spans="1:5" x14ac:dyDescent="0.3">
      <c r="C357" s="8"/>
      <c r="D357" s="8"/>
      <c r="E357" s="8"/>
    </row>
    <row r="358" spans="1:5" x14ac:dyDescent="0.3">
      <c r="A358" s="3" t="s">
        <v>310</v>
      </c>
      <c r="B358" s="3" t="s">
        <v>316</v>
      </c>
      <c r="C358" s="9">
        <f>HLOOKUP(B358,A355:E356,2,0)</f>
        <v>110000</v>
      </c>
      <c r="D358" s="8"/>
      <c r="E358" s="8"/>
    </row>
    <row r="359" spans="1:5" ht="26.4" customHeight="1" x14ac:dyDescent="0.3">
      <c r="A359" s="3" t="s">
        <v>364</v>
      </c>
      <c r="C359" s="30" t="str">
        <f ca="1">_xlfn.FORMULATEXT(C358)</f>
        <v>=HLOOKUP(B358,A355:E356,2,0)</v>
      </c>
      <c r="D359" s="8"/>
      <c r="E359" s="8"/>
    </row>
    <row r="360" spans="1:5" x14ac:dyDescent="0.3">
      <c r="C360" s="30"/>
    </row>
    <row r="362" spans="1:5" x14ac:dyDescent="0.3">
      <c r="A362" s="23" t="s">
        <v>374</v>
      </c>
    </row>
    <row r="363" spans="1:5" x14ac:dyDescent="0.3">
      <c r="A363" s="3" t="s">
        <v>375</v>
      </c>
    </row>
    <row r="364" spans="1:5" x14ac:dyDescent="0.3">
      <c r="A364" s="33" t="s">
        <v>396</v>
      </c>
    </row>
    <row r="365" spans="1:5" x14ac:dyDescent="0.3">
      <c r="A365" s="33" t="s">
        <v>397</v>
      </c>
    </row>
    <row r="367" spans="1:5" x14ac:dyDescent="0.3">
      <c r="A367" s="8" t="s">
        <v>398</v>
      </c>
    </row>
    <row r="368" spans="1:5" x14ac:dyDescent="0.3">
      <c r="A368" s="21"/>
    </row>
    <row r="369" spans="1:8" x14ac:dyDescent="0.3">
      <c r="A369" s="8" t="s">
        <v>376</v>
      </c>
    </row>
    <row r="370" spans="1:8" x14ac:dyDescent="0.3">
      <c r="A370" s="33"/>
    </row>
    <row r="371" spans="1:8" x14ac:dyDescent="0.3">
      <c r="A371" s="33" t="s">
        <v>399</v>
      </c>
    </row>
    <row r="372" spans="1:8" x14ac:dyDescent="0.3">
      <c r="A372" s="33" t="s">
        <v>377</v>
      </c>
    </row>
    <row r="373" spans="1:8" x14ac:dyDescent="0.3">
      <c r="A373" s="33" t="s">
        <v>400</v>
      </c>
    </row>
    <row r="375" spans="1:8" x14ac:dyDescent="0.3">
      <c r="A375" s="8" t="s">
        <v>378</v>
      </c>
      <c r="B375" s="8"/>
      <c r="C375" s="8"/>
      <c r="D375" s="8"/>
      <c r="E375" s="8"/>
      <c r="F375" s="8"/>
      <c r="G375" s="8"/>
      <c r="H375" s="8"/>
    </row>
    <row r="376" spans="1:8" x14ac:dyDescent="0.3">
      <c r="A376" s="35" t="s">
        <v>379</v>
      </c>
      <c r="B376" s="8"/>
      <c r="C376" s="8"/>
      <c r="D376" s="8"/>
      <c r="E376" s="8"/>
      <c r="F376" s="8"/>
      <c r="G376" s="8"/>
      <c r="H376" s="8"/>
    </row>
    <row r="377" spans="1:8" x14ac:dyDescent="0.3">
      <c r="A377" s="36" t="s">
        <v>380</v>
      </c>
      <c r="B377" s="8"/>
      <c r="C377" s="8"/>
      <c r="E377" s="8"/>
      <c r="F377" s="8"/>
      <c r="G377" s="36" t="s">
        <v>381</v>
      </c>
      <c r="H377" s="8"/>
    </row>
    <row r="378" spans="1:8" x14ac:dyDescent="0.3">
      <c r="A378" s="11" t="s">
        <v>382</v>
      </c>
      <c r="B378" s="11" t="s">
        <v>383</v>
      </c>
      <c r="C378" s="11" t="s">
        <v>384</v>
      </c>
      <c r="D378" s="11" t="s">
        <v>385</v>
      </c>
      <c r="E378" s="11" t="s">
        <v>386</v>
      </c>
      <c r="F378" s="8"/>
      <c r="G378" s="11" t="s">
        <v>387</v>
      </c>
      <c r="H378" s="11" t="s">
        <v>385</v>
      </c>
    </row>
    <row r="379" spans="1:8" x14ac:dyDescent="0.3">
      <c r="A379" s="8" t="s">
        <v>388</v>
      </c>
      <c r="B379" s="8" t="s">
        <v>389</v>
      </c>
      <c r="C379" s="8">
        <v>0.8</v>
      </c>
      <c r="D379" s="9">
        <f>VLOOKUP(C379,G379:H383,2,1)</f>
        <v>6.5</v>
      </c>
      <c r="E379" s="8">
        <v>5.2</v>
      </c>
      <c r="F379" s="8"/>
      <c r="G379" s="8">
        <v>0</v>
      </c>
      <c r="H379" s="8">
        <v>6.5</v>
      </c>
    </row>
    <row r="380" spans="1:8" x14ac:dyDescent="0.3">
      <c r="A380" s="8" t="s">
        <v>390</v>
      </c>
      <c r="B380" s="8" t="s">
        <v>389</v>
      </c>
      <c r="C380" s="8">
        <v>2.4</v>
      </c>
      <c r="D380" s="9">
        <f t="shared" ref="D380:D383" si="17">VLOOKUP(C380,G380:H384,2,1)</f>
        <v>5.75</v>
      </c>
      <c r="E380" s="8">
        <v>13.8</v>
      </c>
      <c r="F380" s="8"/>
      <c r="G380" s="8">
        <v>1</v>
      </c>
      <c r="H380" s="8">
        <v>5.75</v>
      </c>
    </row>
    <row r="381" spans="1:8" x14ac:dyDescent="0.3">
      <c r="A381" s="8" t="s">
        <v>391</v>
      </c>
      <c r="B381" s="8" t="s">
        <v>392</v>
      </c>
      <c r="C381" s="8">
        <v>6.2</v>
      </c>
      <c r="D381" s="9">
        <f>VLOOKUP(C381,G381:H385,2,1)</f>
        <v>5</v>
      </c>
      <c r="E381" s="8">
        <v>31</v>
      </c>
      <c r="F381" s="8"/>
      <c r="G381" s="8">
        <v>5</v>
      </c>
      <c r="H381" s="8">
        <v>5</v>
      </c>
    </row>
    <row r="382" spans="1:8" x14ac:dyDescent="0.3">
      <c r="A382" s="8" t="s">
        <v>393</v>
      </c>
      <c r="B382" s="8" t="s">
        <v>394</v>
      </c>
      <c r="C382" s="8">
        <v>12</v>
      </c>
      <c r="D382" s="9">
        <f t="shared" si="17"/>
        <v>4.25</v>
      </c>
      <c r="E382" s="8">
        <v>51</v>
      </c>
      <c r="F382" s="8"/>
      <c r="G382" s="8">
        <v>10</v>
      </c>
      <c r="H382" s="8">
        <v>4.25</v>
      </c>
    </row>
    <row r="383" spans="1:8" x14ac:dyDescent="0.3">
      <c r="A383" s="8" t="s">
        <v>395</v>
      </c>
      <c r="B383" s="8" t="s">
        <v>389</v>
      </c>
      <c r="C383" s="8">
        <v>24.5</v>
      </c>
      <c r="D383" s="9">
        <f t="shared" si="17"/>
        <v>3.75</v>
      </c>
      <c r="E383" s="8">
        <v>91.875</v>
      </c>
      <c r="F383" s="8"/>
      <c r="G383" s="8">
        <v>20</v>
      </c>
      <c r="H383" s="8">
        <v>3.75</v>
      </c>
    </row>
    <row r="385" spans="1:4" x14ac:dyDescent="0.3">
      <c r="D385" s="3" t="str">
        <f ca="1">_xlfn.FORMULATEXT(D379)</f>
        <v>=VLOOKUP(C379,G379:H383,2,1)</v>
      </c>
    </row>
    <row r="387" spans="1:4" x14ac:dyDescent="0.3">
      <c r="A387" s="23" t="s">
        <v>401</v>
      </c>
    </row>
    <row r="388" spans="1:4" x14ac:dyDescent="0.3">
      <c r="A388" s="3" t="s">
        <v>353</v>
      </c>
    </row>
    <row r="389" spans="1:4" x14ac:dyDescent="0.3">
      <c r="A389" s="33" t="s">
        <v>431</v>
      </c>
    </row>
    <row r="390" spans="1:4" x14ac:dyDescent="0.3">
      <c r="A390" s="33" t="s">
        <v>432</v>
      </c>
    </row>
    <row r="391" spans="1:4" x14ac:dyDescent="0.3">
      <c r="A391" s="33" t="s">
        <v>433</v>
      </c>
    </row>
    <row r="392" spans="1:4" x14ac:dyDescent="0.3">
      <c r="A392" s="33" t="s">
        <v>434</v>
      </c>
    </row>
    <row r="394" spans="1:4" x14ac:dyDescent="0.3">
      <c r="A394" s="8" t="s">
        <v>435</v>
      </c>
    </row>
    <row r="395" spans="1:4" x14ac:dyDescent="0.3">
      <c r="A395" s="33"/>
    </row>
    <row r="396" spans="1:4" x14ac:dyDescent="0.3">
      <c r="A396" s="33" t="s">
        <v>436</v>
      </c>
    </row>
    <row r="397" spans="1:4" x14ac:dyDescent="0.3">
      <c r="A397" s="33" t="s">
        <v>437</v>
      </c>
    </row>
    <row r="398" spans="1:4" x14ac:dyDescent="0.3">
      <c r="A398" s="33" t="s">
        <v>402</v>
      </c>
    </row>
    <row r="399" spans="1:4" x14ac:dyDescent="0.3">
      <c r="A399" s="33" t="s">
        <v>438</v>
      </c>
    </row>
    <row r="401" spans="1:4" x14ac:dyDescent="0.3">
      <c r="A401" s="14" t="s">
        <v>403</v>
      </c>
      <c r="B401" s="14" t="s">
        <v>404</v>
      </c>
      <c r="C401" s="14" t="s">
        <v>405</v>
      </c>
      <c r="D401" s="14" t="s">
        <v>406</v>
      </c>
    </row>
    <row r="402" spans="1:4" x14ac:dyDescent="0.3">
      <c r="A402" s="8" t="s">
        <v>407</v>
      </c>
      <c r="B402" s="8" t="s">
        <v>408</v>
      </c>
      <c r="C402" s="8" t="s">
        <v>409</v>
      </c>
      <c r="D402" s="8" t="s">
        <v>410</v>
      </c>
    </row>
    <row r="403" spans="1:4" x14ac:dyDescent="0.3">
      <c r="A403" s="8" t="s">
        <v>411</v>
      </c>
      <c r="B403" s="8" t="s">
        <v>412</v>
      </c>
      <c r="C403" s="8" t="s">
        <v>413</v>
      </c>
      <c r="D403" s="8" t="s">
        <v>414</v>
      </c>
    </row>
    <row r="404" spans="1:4" x14ac:dyDescent="0.3">
      <c r="A404" s="8" t="s">
        <v>415</v>
      </c>
      <c r="B404" s="8" t="s">
        <v>416</v>
      </c>
      <c r="C404" s="8" t="s">
        <v>417</v>
      </c>
      <c r="D404" s="8" t="s">
        <v>418</v>
      </c>
    </row>
    <row r="405" spans="1:4" x14ac:dyDescent="0.3">
      <c r="A405" s="8" t="s">
        <v>419</v>
      </c>
      <c r="B405" s="8" t="s">
        <v>420</v>
      </c>
      <c r="C405" s="8" t="s">
        <v>421</v>
      </c>
      <c r="D405" s="8" t="s">
        <v>422</v>
      </c>
    </row>
    <row r="406" spans="1:4" x14ac:dyDescent="0.3">
      <c r="A406" s="8" t="s">
        <v>423</v>
      </c>
      <c r="B406" s="8" t="s">
        <v>424</v>
      </c>
      <c r="C406" s="8" t="s">
        <v>425</v>
      </c>
      <c r="D406" s="8" t="s">
        <v>426</v>
      </c>
    </row>
    <row r="407" spans="1:4" x14ac:dyDescent="0.3">
      <c r="A407" s="8" t="s">
        <v>427</v>
      </c>
      <c r="B407" s="8" t="s">
        <v>428</v>
      </c>
      <c r="C407" s="8" t="s">
        <v>429</v>
      </c>
      <c r="D407" s="8" t="s">
        <v>430</v>
      </c>
    </row>
    <row r="408" spans="1:4" x14ac:dyDescent="0.3">
      <c r="A408" s="8"/>
      <c r="B408" s="8"/>
      <c r="C408" s="8"/>
      <c r="D408" s="8"/>
    </row>
    <row r="409" spans="1:4" x14ac:dyDescent="0.3">
      <c r="A409" s="8" t="s">
        <v>403</v>
      </c>
      <c r="B409" s="8" t="s">
        <v>419</v>
      </c>
      <c r="C409" s="8"/>
      <c r="D409" s="8"/>
    </row>
    <row r="410" spans="1:4" x14ac:dyDescent="0.3">
      <c r="A410" s="8" t="s">
        <v>405</v>
      </c>
      <c r="B410" s="9" t="str">
        <f>VLOOKUP(B409,A402:C407,3,0)</f>
        <v>Denver</v>
      </c>
      <c r="C410" s="8"/>
      <c r="D410" s="8"/>
    </row>
    <row r="411" spans="1:4" x14ac:dyDescent="0.3">
      <c r="B411" s="3" t="str">
        <f ca="1">_xlfn.FORMULATEXT(B410)</f>
        <v>=VLOOKUP(B409,A402:C407,3,0)</v>
      </c>
    </row>
    <row r="413" spans="1:4" x14ac:dyDescent="0.3">
      <c r="A413" s="23" t="s">
        <v>439</v>
      </c>
    </row>
    <row r="414" spans="1:4" ht="78" x14ac:dyDescent="0.3">
      <c r="A414" s="5" t="s">
        <v>440</v>
      </c>
    </row>
    <row r="416" spans="1:4" ht="78" x14ac:dyDescent="0.3">
      <c r="A416" s="5" t="s">
        <v>440</v>
      </c>
    </row>
    <row r="418" spans="1:7" x14ac:dyDescent="0.3">
      <c r="A418" s="11" t="s">
        <v>202</v>
      </c>
      <c r="B418" s="11" t="s">
        <v>46</v>
      </c>
      <c r="C418" s="11" t="s">
        <v>47</v>
      </c>
      <c r="D418" s="11" t="s">
        <v>441</v>
      </c>
    </row>
    <row r="419" spans="1:7" x14ac:dyDescent="0.3">
      <c r="A419" s="8" t="s">
        <v>442</v>
      </c>
      <c r="B419" s="8" t="s">
        <v>443</v>
      </c>
      <c r="C419" s="8" t="s">
        <v>444</v>
      </c>
      <c r="D419" s="8">
        <v>12</v>
      </c>
    </row>
    <row r="420" spans="1:7" x14ac:dyDescent="0.3">
      <c r="A420" s="8" t="s">
        <v>445</v>
      </c>
      <c r="B420" s="8" t="s">
        <v>446</v>
      </c>
      <c r="C420" s="8" t="s">
        <v>447</v>
      </c>
      <c r="D420" s="8">
        <v>18</v>
      </c>
    </row>
    <row r="421" spans="1:7" x14ac:dyDescent="0.3">
      <c r="A421" s="8" t="s">
        <v>448</v>
      </c>
      <c r="B421" s="8" t="s">
        <v>449</v>
      </c>
      <c r="C421" s="8" t="s">
        <v>106</v>
      </c>
      <c r="D421" s="8">
        <v>24</v>
      </c>
    </row>
    <row r="422" spans="1:7" x14ac:dyDescent="0.3">
      <c r="A422" s="8" t="s">
        <v>450</v>
      </c>
      <c r="B422" s="8" t="s">
        <v>60</v>
      </c>
      <c r="C422" s="8" t="s">
        <v>447</v>
      </c>
      <c r="D422" s="8">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3" t="s">
        <v>453</v>
      </c>
    </row>
    <row r="430" spans="1:7" ht="93.6" x14ac:dyDescent="0.3">
      <c r="A430" s="37" t="s">
        <v>477</v>
      </c>
    </row>
    <row r="431" spans="1:7" ht="93.6" x14ac:dyDescent="0.3">
      <c r="A431" s="37" t="s">
        <v>476</v>
      </c>
    </row>
    <row r="432" spans="1:7" x14ac:dyDescent="0.3">
      <c r="A432" s="11" t="s">
        <v>202</v>
      </c>
      <c r="B432" s="11" t="s">
        <v>46</v>
      </c>
      <c r="C432" s="11" t="s">
        <v>47</v>
      </c>
      <c r="D432" s="11" t="s">
        <v>454</v>
      </c>
      <c r="E432" s="8"/>
      <c r="F432" s="11" t="s">
        <v>455</v>
      </c>
      <c r="G432" s="11" t="s">
        <v>46</v>
      </c>
    </row>
    <row r="433" spans="1:7" x14ac:dyDescent="0.3">
      <c r="A433" s="8" t="s">
        <v>456</v>
      </c>
      <c r="B433" s="8" t="s">
        <v>457</v>
      </c>
      <c r="C433" s="8" t="s">
        <v>458</v>
      </c>
      <c r="D433" s="8">
        <v>6.25</v>
      </c>
      <c r="E433" s="8"/>
      <c r="F433" s="38" t="s">
        <v>456</v>
      </c>
      <c r="G433" s="9" t="str">
        <f t="shared" ref="G433:G439" si="18">_xlfn.XLOOKUP(F433,$A$433:$A$439,$B$433:$B$439,"Discontinued")</f>
        <v>Box Cutter</v>
      </c>
    </row>
    <row r="434" spans="1:7" x14ac:dyDescent="0.3">
      <c r="A434" s="8" t="s">
        <v>459</v>
      </c>
      <c r="B434" s="8" t="s">
        <v>460</v>
      </c>
      <c r="C434" s="8" t="s">
        <v>461</v>
      </c>
      <c r="D434" s="8">
        <v>3.4</v>
      </c>
      <c r="E434" s="8"/>
      <c r="F434" s="38" t="s">
        <v>462</v>
      </c>
      <c r="G434" s="9" t="str">
        <f t="shared" si="18"/>
        <v>Discontinued</v>
      </c>
    </row>
    <row r="435" spans="1:7" x14ac:dyDescent="0.3">
      <c r="A435" s="8" t="s">
        <v>463</v>
      </c>
      <c r="B435" s="8" t="s">
        <v>464</v>
      </c>
      <c r="C435" s="8" t="s">
        <v>461</v>
      </c>
      <c r="D435" s="8">
        <v>19.989999999999998</v>
      </c>
      <c r="E435" s="8"/>
      <c r="F435" s="38" t="s">
        <v>463</v>
      </c>
      <c r="G435" s="9" t="str">
        <f t="shared" si="18"/>
        <v>Bubble Wrap Roll</v>
      </c>
    </row>
    <row r="436" spans="1:7" x14ac:dyDescent="0.3">
      <c r="A436" s="8" t="s">
        <v>465</v>
      </c>
      <c r="B436" s="8" t="s">
        <v>466</v>
      </c>
      <c r="C436" s="8" t="s">
        <v>461</v>
      </c>
      <c r="D436" s="8">
        <v>14.5</v>
      </c>
      <c r="E436" s="8"/>
      <c r="F436" s="38" t="s">
        <v>467</v>
      </c>
      <c r="G436" s="9" t="str">
        <f t="shared" si="18"/>
        <v>Discontinued</v>
      </c>
    </row>
    <row r="437" spans="1:7" x14ac:dyDescent="0.3">
      <c r="A437" s="8" t="s">
        <v>468</v>
      </c>
      <c r="B437" s="8" t="s">
        <v>469</v>
      </c>
      <c r="C437" s="8" t="s">
        <v>470</v>
      </c>
      <c r="D437" s="8">
        <v>8.75</v>
      </c>
      <c r="E437" s="8"/>
      <c r="F437" s="38" t="s">
        <v>468</v>
      </c>
      <c r="G437" s="9" t="str">
        <f t="shared" si="18"/>
        <v>Safety Gloves (L)</v>
      </c>
    </row>
    <row r="438" spans="1:7" x14ac:dyDescent="0.3">
      <c r="A438" s="8" t="s">
        <v>471</v>
      </c>
      <c r="B438" s="8" t="s">
        <v>472</v>
      </c>
      <c r="C438" s="8" t="s">
        <v>447</v>
      </c>
      <c r="D438" s="8">
        <v>27.5</v>
      </c>
      <c r="E438" s="8"/>
      <c r="F438" s="38" t="s">
        <v>473</v>
      </c>
      <c r="G438" s="9" t="str">
        <f t="shared" si="18"/>
        <v>Discontinued</v>
      </c>
    </row>
    <row r="439" spans="1:7" ht="31.2" x14ac:dyDescent="0.3">
      <c r="A439" s="8" t="s">
        <v>474</v>
      </c>
      <c r="B439" s="8" t="s">
        <v>475</v>
      </c>
      <c r="C439" s="8" t="s">
        <v>470</v>
      </c>
      <c r="D439" s="8">
        <v>12</v>
      </c>
      <c r="E439" s="8"/>
      <c r="F439" s="38" t="s">
        <v>474</v>
      </c>
      <c r="G439" s="9" t="str">
        <f t="shared" si="18"/>
        <v>Warehouse Marking Tape</v>
      </c>
    </row>
    <row r="441" spans="1:7" x14ac:dyDescent="0.3">
      <c r="A441" s="23" t="s">
        <v>478</v>
      </c>
      <c r="G441" s="3" t="str">
        <f ca="1">_xlfn.FORMULATEXT(G433)</f>
        <v>=XLOOKUP(F433,$A$433:$A$439,$B$433:$B$439,"Discontinued")</v>
      </c>
    </row>
    <row r="442" spans="1:7" ht="31.2" x14ac:dyDescent="0.3">
      <c r="A442" s="8" t="s">
        <v>479</v>
      </c>
    </row>
    <row r="443" spans="1:7" x14ac:dyDescent="0.3">
      <c r="A443" s="21"/>
    </row>
    <row r="444" spans="1:7" ht="31.2" x14ac:dyDescent="0.3">
      <c r="A444" s="8" t="s">
        <v>505</v>
      </c>
    </row>
    <row r="445" spans="1:7" x14ac:dyDescent="0.3">
      <c r="A445" s="21"/>
    </row>
    <row r="446" spans="1:7" x14ac:dyDescent="0.3">
      <c r="A446" s="8" t="s">
        <v>480</v>
      </c>
    </row>
    <row r="447" spans="1:7" x14ac:dyDescent="0.3">
      <c r="A447" s="21"/>
    </row>
    <row r="448" spans="1:7" x14ac:dyDescent="0.3">
      <c r="A448" s="8" t="s">
        <v>481</v>
      </c>
    </row>
    <row r="450" spans="1:4" x14ac:dyDescent="0.3">
      <c r="A450" s="14" t="s">
        <v>255</v>
      </c>
      <c r="B450" s="14" t="s">
        <v>256</v>
      </c>
      <c r="C450" s="14" t="s">
        <v>47</v>
      </c>
      <c r="D450" s="14" t="s">
        <v>482</v>
      </c>
    </row>
    <row r="451" spans="1:4" x14ac:dyDescent="0.3">
      <c r="A451" s="8" t="s">
        <v>483</v>
      </c>
      <c r="B451" s="8" t="s">
        <v>484</v>
      </c>
      <c r="C451" s="8" t="s">
        <v>461</v>
      </c>
      <c r="D451" s="8">
        <v>22.4</v>
      </c>
    </row>
    <row r="452" spans="1:4" x14ac:dyDescent="0.3">
      <c r="A452" s="8" t="s">
        <v>485</v>
      </c>
      <c r="B452" s="8" t="s">
        <v>486</v>
      </c>
      <c r="C452" s="8" t="s">
        <v>487</v>
      </c>
      <c r="D452" s="8">
        <v>18.5</v>
      </c>
    </row>
    <row r="453" spans="1:4" x14ac:dyDescent="0.3">
      <c r="A453" s="8" t="s">
        <v>488</v>
      </c>
      <c r="B453" s="8" t="s">
        <v>489</v>
      </c>
      <c r="C453" s="8" t="s">
        <v>490</v>
      </c>
      <c r="D453" s="8">
        <v>7.2</v>
      </c>
    </row>
    <row r="454" spans="1:4" x14ac:dyDescent="0.3">
      <c r="A454" s="8" t="s">
        <v>491</v>
      </c>
      <c r="B454" s="8" t="s">
        <v>492</v>
      </c>
      <c r="C454" s="8" t="s">
        <v>487</v>
      </c>
      <c r="D454" s="8">
        <v>9.75</v>
      </c>
    </row>
    <row r="455" spans="1:4" x14ac:dyDescent="0.3">
      <c r="A455" s="8" t="s">
        <v>493</v>
      </c>
      <c r="B455" s="8" t="s">
        <v>494</v>
      </c>
      <c r="C455" s="8" t="s">
        <v>470</v>
      </c>
      <c r="D455" s="8">
        <v>31</v>
      </c>
    </row>
    <row r="456" spans="1:4" x14ac:dyDescent="0.3">
      <c r="A456" s="8" t="s">
        <v>495</v>
      </c>
      <c r="B456" s="8" t="s">
        <v>496</v>
      </c>
      <c r="C456" s="8" t="s">
        <v>487</v>
      </c>
      <c r="D456" s="8">
        <v>12.6</v>
      </c>
    </row>
    <row r="457" spans="1:4" x14ac:dyDescent="0.3">
      <c r="A457" s="8" t="s">
        <v>497</v>
      </c>
      <c r="B457" s="8" t="s">
        <v>498</v>
      </c>
      <c r="C457" s="8" t="s">
        <v>499</v>
      </c>
      <c r="D457" s="8">
        <v>14.25</v>
      </c>
    </row>
    <row r="458" spans="1:4" x14ac:dyDescent="0.3">
      <c r="A458" s="8" t="s">
        <v>500</v>
      </c>
      <c r="B458" s="8" t="s">
        <v>501</v>
      </c>
      <c r="C458" s="8" t="s">
        <v>487</v>
      </c>
      <c r="D458" s="8">
        <v>24.9</v>
      </c>
    </row>
    <row r="459" spans="1:4" x14ac:dyDescent="0.3">
      <c r="A459" s="8"/>
      <c r="B459" s="8"/>
      <c r="C459" s="8"/>
      <c r="D459" s="8"/>
    </row>
    <row r="460" spans="1:4" x14ac:dyDescent="0.3">
      <c r="A460" s="19" t="s">
        <v>502</v>
      </c>
      <c r="B460" s="39" t="s">
        <v>503</v>
      </c>
      <c r="C460" s="8"/>
      <c r="D460" s="8"/>
    </row>
    <row r="461" spans="1:4" x14ac:dyDescent="0.3">
      <c r="A461" s="19" t="s">
        <v>504</v>
      </c>
      <c r="B461" s="9" t="str">
        <f>_xlfn.XLOOKUP("*"&amp;B460&amp;"*",B451:B458,B451:B458,,2)</f>
        <v>Citrus Surface Cleaner</v>
      </c>
      <c r="C461" s="8"/>
      <c r="D461" s="8"/>
    </row>
    <row r="462" spans="1:4" x14ac:dyDescent="0.3">
      <c r="A462" s="19" t="s">
        <v>482</v>
      </c>
      <c r="B462" s="9">
        <f>_xlfn.XLOOKUP("*"&amp;B460&amp;"*",B451:B458,D451:D458,,2)</f>
        <v>12.6</v>
      </c>
      <c r="C462" s="8"/>
      <c r="D462" s="8"/>
    </row>
    <row r="464" spans="1:4" x14ac:dyDescent="0.3">
      <c r="B464" s="3" t="str">
        <f ca="1">_xlfn.FORMULATEXT(B461)</f>
        <v>=XLOOKUP("*"&amp;B460&amp;"*",B451:B458,B451:B458,,2)</v>
      </c>
    </row>
    <row r="465" spans="1:8" x14ac:dyDescent="0.3">
      <c r="A465" s="8"/>
      <c r="B465" s="8"/>
      <c r="C465" s="8"/>
      <c r="D465" s="8"/>
      <c r="E465" s="8"/>
      <c r="F465" s="8"/>
      <c r="G465" s="8"/>
      <c r="H465" s="8"/>
    </row>
    <row r="466" spans="1:8" x14ac:dyDescent="0.3">
      <c r="A466" s="23" t="s">
        <v>506</v>
      </c>
      <c r="B466" s="8"/>
      <c r="C466" s="8"/>
      <c r="D466" s="8"/>
      <c r="E466" s="8"/>
      <c r="F466" s="8"/>
      <c r="G466" s="8"/>
      <c r="H466" s="8"/>
    </row>
    <row r="467" spans="1:8" ht="46.8" x14ac:dyDescent="0.3">
      <c r="A467" s="8" t="s">
        <v>507</v>
      </c>
      <c r="B467" s="8"/>
      <c r="C467" s="8"/>
      <c r="D467" s="8"/>
      <c r="E467" s="8"/>
      <c r="F467" s="8"/>
      <c r="G467" s="8"/>
      <c r="H467" s="8"/>
    </row>
    <row r="468" spans="1:8" ht="62.4" x14ac:dyDescent="0.3">
      <c r="A468" s="8" t="s">
        <v>508</v>
      </c>
      <c r="B468" s="8"/>
      <c r="C468" s="8"/>
      <c r="D468" s="8"/>
      <c r="E468" s="8"/>
      <c r="F468" s="8"/>
      <c r="G468" s="8"/>
      <c r="H468" s="8"/>
    </row>
    <row r="469" spans="1:8" x14ac:dyDescent="0.3">
      <c r="A469" s="8"/>
      <c r="B469" s="8"/>
      <c r="C469" s="8"/>
      <c r="D469" s="8"/>
      <c r="E469" s="8"/>
      <c r="F469" s="8"/>
      <c r="G469" s="8"/>
      <c r="H469" s="8"/>
    </row>
    <row r="470" spans="1:8" x14ac:dyDescent="0.3">
      <c r="A470" s="14" t="s">
        <v>202</v>
      </c>
      <c r="B470" s="14" t="s">
        <v>46</v>
      </c>
      <c r="C470" s="14" t="s">
        <v>509</v>
      </c>
      <c r="D470" s="8"/>
      <c r="E470" s="8"/>
      <c r="F470" s="8"/>
      <c r="G470" s="8"/>
      <c r="H470" s="8"/>
    </row>
    <row r="471" spans="1:8" x14ac:dyDescent="0.3">
      <c r="A471" s="8" t="s">
        <v>510</v>
      </c>
      <c r="B471" s="8" t="s">
        <v>511</v>
      </c>
      <c r="C471" s="8">
        <v>120</v>
      </c>
      <c r="D471" s="8"/>
      <c r="E471" s="8"/>
      <c r="F471" s="8"/>
      <c r="G471" s="8"/>
      <c r="H471" s="8"/>
    </row>
    <row r="472" spans="1:8" x14ac:dyDescent="0.3">
      <c r="A472" s="8" t="s">
        <v>512</v>
      </c>
      <c r="B472" s="8" t="s">
        <v>513</v>
      </c>
      <c r="C472" s="8">
        <v>50</v>
      </c>
      <c r="D472" s="8"/>
      <c r="E472" s="8"/>
      <c r="F472" s="8"/>
      <c r="G472" s="8"/>
      <c r="H472" s="8"/>
    </row>
    <row r="473" spans="1:8" x14ac:dyDescent="0.3">
      <c r="A473" s="8" t="s">
        <v>514</v>
      </c>
      <c r="B473" s="8" t="s">
        <v>515</v>
      </c>
      <c r="C473" s="8">
        <v>0</v>
      </c>
      <c r="D473" s="8"/>
      <c r="E473" s="8"/>
      <c r="F473" s="8"/>
      <c r="G473" s="8"/>
      <c r="H473" s="8"/>
    </row>
    <row r="474" spans="1:8" x14ac:dyDescent="0.3">
      <c r="A474" s="8"/>
      <c r="B474" s="8"/>
      <c r="C474" s="8"/>
      <c r="D474" s="8"/>
      <c r="E474" s="8"/>
      <c r="F474" s="8"/>
      <c r="G474" s="8"/>
      <c r="H474" s="8"/>
    </row>
    <row r="475" spans="1:8" x14ac:dyDescent="0.3">
      <c r="A475" s="8" t="s">
        <v>516</v>
      </c>
      <c r="B475" s="40" t="s">
        <v>517</v>
      </c>
      <c r="C475" s="8"/>
      <c r="D475" s="8"/>
      <c r="E475" s="8"/>
      <c r="F475" s="8"/>
      <c r="G475" s="8"/>
      <c r="H475" s="8"/>
    </row>
    <row r="476" spans="1:8" x14ac:dyDescent="0.3">
      <c r="A476" s="41" t="s">
        <v>518</v>
      </c>
      <c r="B476" s="9" t="str">
        <f>_xlfn.IFNA(VLOOKUP(B475,A471:C473,2,0),"Not Found")</f>
        <v>Not Found</v>
      </c>
      <c r="C476" s="30" t="str">
        <f ca="1">_xlfn.FORMULATEXT(B476)</f>
        <v>=IFNA(VLOOKUP(B475,A471:C473,2,0),"Not Found")</v>
      </c>
      <c r="D476" s="30"/>
      <c r="E476" s="30"/>
      <c r="F476" s="8"/>
      <c r="G476" s="8"/>
      <c r="H476" s="8"/>
    </row>
    <row r="477" spans="1:8" x14ac:dyDescent="0.3">
      <c r="A477" s="41" t="s">
        <v>519</v>
      </c>
      <c r="B477" s="9" t="str">
        <f>_xlfn.XLOOKUP(B475,A471:A473,B471:B473,"Not Found")</f>
        <v>Not Found</v>
      </c>
      <c r="C477" s="30" t="str">
        <f ca="1">_xlfn.FORMULATEXT(B477)</f>
        <v>=XLOOKUP(B475,A471:A473,B471:B473,"Not Found")</v>
      </c>
      <c r="D477" s="30"/>
      <c r="E477" s="30"/>
      <c r="F477" s="8"/>
      <c r="G477" s="8"/>
      <c r="H477" s="8"/>
    </row>
    <row r="478" spans="1:8" x14ac:dyDescent="0.3">
      <c r="A478" s="8"/>
      <c r="B478" s="8"/>
      <c r="C478" s="8"/>
      <c r="D478" s="8"/>
      <c r="E478" s="8"/>
      <c r="F478" s="8"/>
      <c r="G478" s="8"/>
      <c r="H478" s="8"/>
    </row>
    <row r="479" spans="1:8" x14ac:dyDescent="0.3">
      <c r="A479" s="8"/>
      <c r="B479" s="8"/>
      <c r="C479" s="8"/>
      <c r="D479" s="8"/>
      <c r="E479" s="8"/>
      <c r="F479" s="8"/>
      <c r="G479" s="8"/>
      <c r="H479" s="8"/>
    </row>
    <row r="480" spans="1:8" x14ac:dyDescent="0.3">
      <c r="A480" s="23" t="s">
        <v>545</v>
      </c>
      <c r="B480" s="8"/>
      <c r="C480" s="8"/>
      <c r="D480" s="8"/>
      <c r="E480" s="8"/>
      <c r="F480" s="8"/>
      <c r="G480" s="8"/>
      <c r="H480" s="8"/>
    </row>
    <row r="481" spans="1:8" ht="156" x14ac:dyDescent="0.3">
      <c r="A481" s="8" t="s">
        <v>546</v>
      </c>
      <c r="B481" s="8"/>
      <c r="C481" s="8"/>
      <c r="D481" s="8"/>
      <c r="E481" s="8"/>
      <c r="F481" s="8"/>
      <c r="G481" s="8"/>
      <c r="H481" s="8"/>
    </row>
    <row r="482" spans="1:8" ht="62.4" x14ac:dyDescent="0.3">
      <c r="A482" s="8" t="s">
        <v>547</v>
      </c>
      <c r="B482" s="8"/>
      <c r="C482" s="8"/>
      <c r="D482" s="8"/>
      <c r="E482" s="8"/>
      <c r="F482" s="8"/>
      <c r="G482" s="8"/>
      <c r="H482" s="8"/>
    </row>
    <row r="483" spans="1:8" x14ac:dyDescent="0.3">
      <c r="A483" s="8"/>
      <c r="B483" s="8"/>
      <c r="C483" s="8"/>
      <c r="D483" s="8"/>
      <c r="E483" s="8"/>
      <c r="F483" s="8"/>
      <c r="G483" s="8"/>
      <c r="H483" s="8"/>
    </row>
    <row r="484" spans="1:8" x14ac:dyDescent="0.3">
      <c r="A484" s="14" t="s">
        <v>520</v>
      </c>
      <c r="B484" s="14" t="s">
        <v>113</v>
      </c>
      <c r="C484" s="14" t="s">
        <v>521</v>
      </c>
      <c r="D484" s="14" t="s">
        <v>522</v>
      </c>
      <c r="E484" s="8"/>
      <c r="F484" s="8"/>
      <c r="G484" s="8"/>
      <c r="H484" s="8"/>
    </row>
    <row r="485" spans="1:8" x14ac:dyDescent="0.3">
      <c r="A485" s="8" t="s">
        <v>523</v>
      </c>
      <c r="B485" s="8" t="s">
        <v>524</v>
      </c>
      <c r="C485" s="8" t="s">
        <v>525</v>
      </c>
      <c r="D485" s="8" t="s">
        <v>526</v>
      </c>
      <c r="E485" s="8"/>
      <c r="F485" s="8"/>
      <c r="G485" s="8"/>
      <c r="H485" s="8"/>
    </row>
    <row r="486" spans="1:8" x14ac:dyDescent="0.3">
      <c r="A486" s="8" t="s">
        <v>523</v>
      </c>
      <c r="B486" s="8" t="s">
        <v>117</v>
      </c>
      <c r="C486" s="8" t="s">
        <v>525</v>
      </c>
      <c r="D486" s="8" t="s">
        <v>526</v>
      </c>
      <c r="E486" s="8"/>
      <c r="F486" s="8"/>
      <c r="G486" s="8"/>
      <c r="H486" s="8"/>
    </row>
    <row r="487" spans="1:8" x14ac:dyDescent="0.3">
      <c r="A487" s="8" t="s">
        <v>527</v>
      </c>
      <c r="B487" s="8" t="s">
        <v>528</v>
      </c>
      <c r="C487" s="8" t="s">
        <v>356</v>
      </c>
      <c r="D487" s="8" t="s">
        <v>529</v>
      </c>
      <c r="E487" s="8"/>
      <c r="F487" s="8"/>
      <c r="G487" s="8"/>
      <c r="H487" s="8"/>
    </row>
    <row r="488" spans="1:8" x14ac:dyDescent="0.3">
      <c r="A488" s="8" t="s">
        <v>527</v>
      </c>
      <c r="B488" s="8" t="s">
        <v>530</v>
      </c>
      <c r="C488" s="8" t="s">
        <v>356</v>
      </c>
      <c r="D488" s="8" t="s">
        <v>529</v>
      </c>
      <c r="E488" s="8"/>
      <c r="F488" s="8"/>
      <c r="G488" s="8"/>
      <c r="H488" s="8"/>
    </row>
    <row r="489" spans="1:8" x14ac:dyDescent="0.3">
      <c r="A489" s="8" t="s">
        <v>124</v>
      </c>
      <c r="B489" s="8" t="s">
        <v>531</v>
      </c>
      <c r="C489" s="8" t="s">
        <v>532</v>
      </c>
      <c r="D489" s="8" t="s">
        <v>526</v>
      </c>
      <c r="E489" s="8"/>
      <c r="F489" s="8"/>
      <c r="G489" s="8"/>
      <c r="H489" s="8"/>
    </row>
    <row r="490" spans="1:8" x14ac:dyDescent="0.3">
      <c r="A490" s="8" t="s">
        <v>124</v>
      </c>
      <c r="B490" s="8" t="s">
        <v>533</v>
      </c>
      <c r="C490" s="8" t="s">
        <v>532</v>
      </c>
      <c r="D490" s="8" t="s">
        <v>526</v>
      </c>
      <c r="E490" s="8"/>
      <c r="F490" s="8"/>
      <c r="G490" s="8"/>
      <c r="H490" s="8"/>
    </row>
    <row r="491" spans="1:8" x14ac:dyDescent="0.3">
      <c r="A491" s="8" t="s">
        <v>534</v>
      </c>
      <c r="B491" s="8" t="s">
        <v>535</v>
      </c>
      <c r="C491" s="8" t="s">
        <v>536</v>
      </c>
      <c r="D491" s="8" t="s">
        <v>537</v>
      </c>
      <c r="E491" s="8"/>
    </row>
    <row r="492" spans="1:8" x14ac:dyDescent="0.3">
      <c r="A492" s="8" t="s">
        <v>534</v>
      </c>
      <c r="B492" s="8" t="s">
        <v>538</v>
      </c>
      <c r="C492" s="8" t="s">
        <v>536</v>
      </c>
      <c r="D492" s="8" t="s">
        <v>537</v>
      </c>
      <c r="E492" s="8"/>
    </row>
    <row r="493" spans="1:8" x14ac:dyDescent="0.3">
      <c r="A493" s="8"/>
      <c r="B493" s="8"/>
      <c r="C493" s="8"/>
      <c r="D493" s="8"/>
      <c r="E493" s="8"/>
    </row>
    <row r="494" spans="1:8" x14ac:dyDescent="0.3">
      <c r="A494" s="42" t="s">
        <v>539</v>
      </c>
      <c r="B494" s="8"/>
      <c r="C494" s="8"/>
      <c r="D494" s="8"/>
      <c r="E494" s="8"/>
    </row>
    <row r="495" spans="1:8" x14ac:dyDescent="0.3">
      <c r="A495" s="42" t="s">
        <v>113</v>
      </c>
      <c r="B495" s="42" t="s">
        <v>540</v>
      </c>
      <c r="C495" s="42" t="s">
        <v>541</v>
      </c>
      <c r="D495" s="8"/>
      <c r="E495" s="8"/>
    </row>
    <row r="496" spans="1:8" x14ac:dyDescent="0.3">
      <c r="A496" s="8" t="s">
        <v>530</v>
      </c>
      <c r="B496" s="42" t="str">
        <f>INDEX(A485:A492,MATCH(A496,B485:B492,0))</f>
        <v>Thomas Nguyen</v>
      </c>
      <c r="C496" s="8" t="s">
        <v>542</v>
      </c>
      <c r="D496" s="8"/>
      <c r="E496" s="8"/>
    </row>
    <row r="497" spans="1:5" x14ac:dyDescent="0.3">
      <c r="A497" s="8" t="s">
        <v>535</v>
      </c>
      <c r="B497" s="42" t="str">
        <f>INDEX(A485:A492,MATCH(A497,B485:B492,0))</f>
        <v>David Brown</v>
      </c>
      <c r="C497" s="8" t="s">
        <v>543</v>
      </c>
      <c r="D497" s="8"/>
      <c r="E497" s="8"/>
    </row>
    <row r="498" spans="1:5" x14ac:dyDescent="0.3">
      <c r="A498" s="8" t="s">
        <v>117</v>
      </c>
      <c r="B498" s="42" t="str">
        <f>INDEX(A485:A492,MATCH(A498,B485:B492,0))</f>
        <v>Maria Gomez</v>
      </c>
      <c r="C498" s="8" t="s">
        <v>544</v>
      </c>
      <c r="D498" s="8"/>
      <c r="E498" s="8"/>
    </row>
    <row r="499" spans="1:5" x14ac:dyDescent="0.3">
      <c r="A499" s="8"/>
      <c r="B499" s="8"/>
      <c r="C499" s="8"/>
      <c r="D499" s="8"/>
      <c r="E499" s="8"/>
    </row>
    <row r="500" spans="1:5" x14ac:dyDescent="0.3">
      <c r="A500" s="8"/>
      <c r="B500" s="30" t="str">
        <f ca="1">_xlfn.FORMULATEXT(B496)</f>
        <v>=INDEX(A485:A492,MATCH(A496,B485:B492,0))</v>
      </c>
      <c r="C500" s="30"/>
      <c r="D500" s="8"/>
      <c r="E500" s="8"/>
    </row>
    <row r="501" spans="1:5" x14ac:dyDescent="0.3">
      <c r="A501" s="8"/>
      <c r="B501" s="8"/>
      <c r="C501" s="8"/>
      <c r="D501" s="8"/>
      <c r="E501" s="8"/>
    </row>
    <row r="502" spans="1:5" x14ac:dyDescent="0.3">
      <c r="A502" s="23" t="s">
        <v>548</v>
      </c>
      <c r="B502" s="8"/>
      <c r="C502" s="8"/>
      <c r="D502" s="8"/>
      <c r="E502" s="8"/>
    </row>
    <row r="503" spans="1:5" ht="31.2" x14ac:dyDescent="0.3">
      <c r="A503" s="8" t="s">
        <v>549</v>
      </c>
      <c r="B503" s="8"/>
      <c r="C503" s="8"/>
      <c r="D503" s="8"/>
      <c r="E503" s="8"/>
    </row>
    <row r="504" spans="1:5" x14ac:dyDescent="0.3">
      <c r="A504" s="8"/>
      <c r="B504" s="8"/>
      <c r="C504" s="8"/>
      <c r="D504" s="8"/>
      <c r="E504" s="8"/>
    </row>
    <row r="505" spans="1:5" x14ac:dyDescent="0.3">
      <c r="A505" s="8" t="s">
        <v>550</v>
      </c>
    </row>
    <row r="506" spans="1:5" x14ac:dyDescent="0.3">
      <c r="A506" s="8"/>
    </row>
    <row r="507" spans="1:5" x14ac:dyDescent="0.3">
      <c r="A507" s="8" t="s">
        <v>591</v>
      </c>
    </row>
    <row r="508" spans="1:5" x14ac:dyDescent="0.3">
      <c r="A508" s="8" t="s">
        <v>592</v>
      </c>
    </row>
    <row r="509" spans="1:5" x14ac:dyDescent="0.3">
      <c r="A509" s="8"/>
    </row>
    <row r="510" spans="1:5" x14ac:dyDescent="0.3">
      <c r="A510" s="8" t="s">
        <v>593</v>
      </c>
    </row>
    <row r="511" spans="1:5" x14ac:dyDescent="0.3">
      <c r="A511" s="8"/>
    </row>
    <row r="512" spans="1:5" x14ac:dyDescent="0.3">
      <c r="A512" s="8" t="s">
        <v>551</v>
      </c>
    </row>
    <row r="513" spans="1:4" x14ac:dyDescent="0.3">
      <c r="A513" s="8"/>
    </row>
    <row r="514" spans="1:4" x14ac:dyDescent="0.3">
      <c r="A514" s="8" t="s">
        <v>594</v>
      </c>
    </row>
    <row r="515" spans="1:4" x14ac:dyDescent="0.3">
      <c r="A515" s="8" t="s">
        <v>595</v>
      </c>
    </row>
    <row r="516" spans="1:4" x14ac:dyDescent="0.3">
      <c r="A516" s="8"/>
    </row>
    <row r="517" spans="1:4" x14ac:dyDescent="0.3">
      <c r="A517" s="8" t="s">
        <v>552</v>
      </c>
    </row>
    <row r="519" spans="1:4" x14ac:dyDescent="0.3">
      <c r="A519" s="11" t="s">
        <v>553</v>
      </c>
      <c r="B519" s="11" t="s">
        <v>403</v>
      </c>
      <c r="C519" s="11" t="s">
        <v>404</v>
      </c>
      <c r="D519" s="11" t="s">
        <v>554</v>
      </c>
    </row>
    <row r="520" spans="1:4" s="8" customFormat="1" x14ac:dyDescent="0.3">
      <c r="A520" s="8" t="s">
        <v>555</v>
      </c>
      <c r="B520" s="8" t="s">
        <v>556</v>
      </c>
      <c r="C520" s="8" t="s">
        <v>557</v>
      </c>
      <c r="D520" s="8" t="s">
        <v>558</v>
      </c>
    </row>
    <row r="521" spans="1:4" s="8" customFormat="1" x14ac:dyDescent="0.3">
      <c r="A521" s="8" t="s">
        <v>559</v>
      </c>
      <c r="B521" s="8" t="s">
        <v>560</v>
      </c>
      <c r="C521" s="8" t="s">
        <v>561</v>
      </c>
      <c r="D521" s="8" t="s">
        <v>558</v>
      </c>
    </row>
    <row r="522" spans="1:4" s="8" customFormat="1" x14ac:dyDescent="0.3">
      <c r="A522" s="8" t="s">
        <v>562</v>
      </c>
      <c r="B522" s="8" t="s">
        <v>563</v>
      </c>
      <c r="C522" s="8" t="s">
        <v>564</v>
      </c>
      <c r="D522" s="8" t="s">
        <v>565</v>
      </c>
    </row>
    <row r="523" spans="1:4" s="8" customFormat="1" x14ac:dyDescent="0.3">
      <c r="A523" s="8" t="s">
        <v>566</v>
      </c>
      <c r="B523" s="8" t="s">
        <v>567</v>
      </c>
      <c r="C523" s="8" t="s">
        <v>568</v>
      </c>
      <c r="D523" s="8" t="s">
        <v>569</v>
      </c>
    </row>
    <row r="524" spans="1:4" s="8" customFormat="1" x14ac:dyDescent="0.3">
      <c r="A524" s="8" t="s">
        <v>570</v>
      </c>
      <c r="B524" s="8" t="s">
        <v>571</v>
      </c>
      <c r="C524" s="8" t="s">
        <v>572</v>
      </c>
      <c r="D524" s="8" t="s">
        <v>565</v>
      </c>
    </row>
    <row r="525" spans="1:4" s="8" customFormat="1" x14ac:dyDescent="0.3">
      <c r="A525" s="8" t="s">
        <v>573</v>
      </c>
      <c r="B525" s="8" t="s">
        <v>574</v>
      </c>
      <c r="C525" s="8" t="s">
        <v>575</v>
      </c>
      <c r="D525" s="8" t="s">
        <v>558</v>
      </c>
    </row>
    <row r="526" spans="1:4" s="8" customFormat="1" x14ac:dyDescent="0.3">
      <c r="A526" s="8" t="s">
        <v>576</v>
      </c>
      <c r="B526" s="8" t="s">
        <v>577</v>
      </c>
      <c r="C526" s="8" t="s">
        <v>578</v>
      </c>
      <c r="D526" s="8" t="s">
        <v>569</v>
      </c>
    </row>
    <row r="527" spans="1:4" s="8" customFormat="1" x14ac:dyDescent="0.3">
      <c r="A527" s="8" t="s">
        <v>579</v>
      </c>
      <c r="B527" s="8" t="s">
        <v>580</v>
      </c>
      <c r="C527" s="8" t="s">
        <v>581</v>
      </c>
      <c r="D527" s="8" t="s">
        <v>565</v>
      </c>
    </row>
    <row r="528" spans="1:4" x14ac:dyDescent="0.3">
      <c r="A528" s="8"/>
      <c r="B528" s="8"/>
      <c r="C528" s="8"/>
      <c r="D528" s="8"/>
    </row>
    <row r="529" spans="1:5" x14ac:dyDescent="0.3">
      <c r="A529" s="43" t="s">
        <v>582</v>
      </c>
      <c r="B529" s="43" t="s">
        <v>403</v>
      </c>
      <c r="C529" s="43" t="s">
        <v>583</v>
      </c>
      <c r="D529" s="43" t="s">
        <v>584</v>
      </c>
    </row>
    <row r="530" spans="1:5" s="8" customFormat="1" x14ac:dyDescent="0.3">
      <c r="A530" s="8" t="s">
        <v>585</v>
      </c>
      <c r="B530" s="8" t="s">
        <v>577</v>
      </c>
      <c r="C530" s="9" t="str">
        <f>INDEX(A520:A527,MATCH(B530,B520:B527,0))</f>
        <v>ingrid.larsen@northwind.com</v>
      </c>
      <c r="D530" s="8" t="s">
        <v>586</v>
      </c>
    </row>
    <row r="531" spans="1:5" s="8" customFormat="1" ht="31.2" x14ac:dyDescent="0.3">
      <c r="A531" s="8" t="s">
        <v>587</v>
      </c>
      <c r="B531" s="8" t="s">
        <v>560</v>
      </c>
      <c r="C531" s="9" t="str">
        <f t="shared" ref="C531:C532" si="19">INDEX(A521:A528,MATCH(B531,B521:B528,0))</f>
        <v>bianca.chen@northwind.com</v>
      </c>
      <c r="D531" s="8" t="s">
        <v>588</v>
      </c>
    </row>
    <row r="532" spans="1:5" s="8" customFormat="1" ht="31.2" x14ac:dyDescent="0.3">
      <c r="A532" s="8" t="s">
        <v>589</v>
      </c>
      <c r="B532" s="8" t="s">
        <v>563</v>
      </c>
      <c r="C532" s="9" t="str">
        <f t="shared" si="19"/>
        <v>diego.souza@northwind.com</v>
      </c>
      <c r="D532" s="8" t="s">
        <v>590</v>
      </c>
    </row>
    <row r="533" spans="1:5" s="8" customFormat="1" x14ac:dyDescent="0.3"/>
    <row r="534" spans="1:5" s="8" customFormat="1" ht="31.2" x14ac:dyDescent="0.3">
      <c r="C534" s="8" t="str">
        <f ca="1">_xlfn.FORMULATEXT(C530)</f>
        <v>=INDEX(A520:A527,MATCH(B530,B520:B527,0))</v>
      </c>
    </row>
    <row r="536" spans="1:5" x14ac:dyDescent="0.3">
      <c r="A536" s="23" t="s">
        <v>596</v>
      </c>
    </row>
    <row r="537" spans="1:5" ht="140.4" x14ac:dyDescent="0.3">
      <c r="A537" s="5" t="s">
        <v>597</v>
      </c>
    </row>
    <row r="539" spans="1:5" x14ac:dyDescent="0.3">
      <c r="A539" s="11" t="s">
        <v>383</v>
      </c>
      <c r="B539" s="11" t="s">
        <v>598</v>
      </c>
      <c r="C539" s="11" t="s">
        <v>599</v>
      </c>
      <c r="D539" s="11" t="s">
        <v>600</v>
      </c>
      <c r="E539" s="11" t="s">
        <v>601</v>
      </c>
    </row>
    <row r="540" spans="1:5" x14ac:dyDescent="0.3">
      <c r="A540" s="8" t="s">
        <v>602</v>
      </c>
      <c r="B540" s="8">
        <v>5</v>
      </c>
      <c r="C540" s="8">
        <v>7</v>
      </c>
      <c r="D540" s="8">
        <v>10</v>
      </c>
      <c r="E540" s="8">
        <v>14</v>
      </c>
    </row>
    <row r="541" spans="1:5" x14ac:dyDescent="0.3">
      <c r="A541" s="8" t="s">
        <v>603</v>
      </c>
      <c r="B541" s="8">
        <v>9</v>
      </c>
      <c r="C541" s="8">
        <v>12</v>
      </c>
      <c r="D541" s="8">
        <v>16</v>
      </c>
      <c r="E541" s="8">
        <v>22</v>
      </c>
    </row>
    <row r="542" spans="1:5" x14ac:dyDescent="0.3">
      <c r="A542" s="8" t="s">
        <v>604</v>
      </c>
      <c r="B542" s="8">
        <v>14</v>
      </c>
      <c r="C542" s="8">
        <v>19</v>
      </c>
      <c r="D542" s="8">
        <v>28</v>
      </c>
      <c r="E542" s="8">
        <v>40</v>
      </c>
    </row>
    <row r="543" spans="1:5" x14ac:dyDescent="0.3">
      <c r="A543" s="8" t="s">
        <v>605</v>
      </c>
      <c r="B543" s="8">
        <v>24</v>
      </c>
      <c r="C543" s="8">
        <v>33</v>
      </c>
      <c r="D543" s="8">
        <v>48</v>
      </c>
      <c r="E543" s="8">
        <v>68</v>
      </c>
    </row>
    <row r="544" spans="1:5" x14ac:dyDescent="0.3">
      <c r="A544" s="8" t="s">
        <v>606</v>
      </c>
      <c r="B544" s="8">
        <v>30</v>
      </c>
      <c r="C544" s="8">
        <v>42</v>
      </c>
      <c r="D544" s="8">
        <v>60</v>
      </c>
      <c r="E544" s="8">
        <v>85</v>
      </c>
    </row>
    <row r="545" spans="1:5" x14ac:dyDescent="0.3">
      <c r="A545" s="8"/>
      <c r="B545" s="8"/>
      <c r="C545" s="8"/>
      <c r="D545" s="8"/>
      <c r="E545" s="8"/>
    </row>
    <row r="546" spans="1:5" x14ac:dyDescent="0.3">
      <c r="A546" s="8" t="s">
        <v>607</v>
      </c>
      <c r="B546" s="8" t="s">
        <v>604</v>
      </c>
      <c r="C546" s="8"/>
      <c r="D546" s="8"/>
      <c r="E546" s="8"/>
    </row>
    <row r="547" spans="1:5" x14ac:dyDescent="0.3">
      <c r="A547" s="8" t="s">
        <v>608</v>
      </c>
      <c r="B547" s="8" t="s">
        <v>600</v>
      </c>
      <c r="C547" s="8"/>
      <c r="D547" s="8"/>
      <c r="E547" s="8"/>
    </row>
    <row r="548" spans="1:5" x14ac:dyDescent="0.3">
      <c r="A548" s="8" t="s">
        <v>609</v>
      </c>
      <c r="B548" s="9">
        <f>INDEX(B540:E544,MATCH(B546,A540:A544),MATCH(B547,B539:E539,0))</f>
        <v>28</v>
      </c>
      <c r="C548" s="8"/>
      <c r="D548" s="8"/>
      <c r="E548" s="8"/>
    </row>
    <row r="550" spans="1:5" x14ac:dyDescent="0.3">
      <c r="B550" s="44" t="str">
        <f ca="1">_xlfn.FORMULATEXT(B548)</f>
        <v>=INDEX(B540:E544,MATCH(B546,A540:A544),MATCH(B547,B539:E539,0))</v>
      </c>
    </row>
    <row r="551" spans="1:5" x14ac:dyDescent="0.3">
      <c r="B551" s="44"/>
    </row>
    <row r="552" spans="1:5" x14ac:dyDescent="0.3">
      <c r="B552" s="44"/>
    </row>
    <row r="553" spans="1:5" x14ac:dyDescent="0.3">
      <c r="A553" s="23"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9" cm="1">
        <f t="array" ref="B571">_xlfn.XLOOKUP(B568,A558:A564,_xlfn.XLOOKUP(B569,B557:E557,B558:E564))</f>
        <v>44</v>
      </c>
    </row>
    <row r="572" spans="1:5" s="5" customFormat="1" ht="13.8" customHeight="1" x14ac:dyDescent="0.3">
      <c r="B572" s="30" t="str">
        <f ca="1">_xlfn.FORMULATEXT(B571)</f>
        <v>=XLOOKUP(B568,A558:A564,XLOOKUP(B569,B557:E557,B558:E564))</v>
      </c>
    </row>
    <row r="573" spans="1:5" s="5" customFormat="1" x14ac:dyDescent="0.3">
      <c r="B573" s="30"/>
    </row>
    <row r="574" spans="1:5" s="5" customFormat="1" x14ac:dyDescent="0.3">
      <c r="B574" s="30"/>
    </row>
    <row r="575" spans="1:5" s="5" customFormat="1" x14ac:dyDescent="0.3">
      <c r="B575" s="45"/>
    </row>
    <row r="576" spans="1:5" s="5" customFormat="1" x14ac:dyDescent="0.3">
      <c r="A576" s="23" t="s">
        <v>624</v>
      </c>
      <c r="B576" s="46"/>
    </row>
    <row r="577" spans="1:7" s="5" customFormat="1" ht="78" x14ac:dyDescent="0.3">
      <c r="A577" s="5" t="s">
        <v>625</v>
      </c>
    </row>
    <row r="578" spans="1:7" s="5" customFormat="1" ht="93.6" x14ac:dyDescent="0.3">
      <c r="A578" s="5" t="s">
        <v>626</v>
      </c>
    </row>
    <row r="579" spans="1:7" s="5" customFormat="1" x14ac:dyDescent="0.3"/>
    <row r="580" spans="1:7" s="5" customFormat="1" x14ac:dyDescent="0.3">
      <c r="A580" s="47" t="s">
        <v>627</v>
      </c>
    </row>
    <row r="581" spans="1:7" s="5" customFormat="1" ht="31.2" x14ac:dyDescent="0.3">
      <c r="B581" s="47" t="s">
        <v>628</v>
      </c>
    </row>
    <row r="582" spans="1:7" s="5" customFormat="1" x14ac:dyDescent="0.3">
      <c r="A582" s="47" t="s">
        <v>403</v>
      </c>
      <c r="B582" s="48">
        <v>1004</v>
      </c>
    </row>
    <row r="583" spans="1:7" s="5" customFormat="1" x14ac:dyDescent="0.3">
      <c r="C583" s="47" t="s">
        <v>629</v>
      </c>
      <c r="D583" s="47" t="s">
        <v>553</v>
      </c>
      <c r="E583" s="47" t="s">
        <v>630</v>
      </c>
    </row>
    <row r="584" spans="1:7" s="5" customFormat="1" ht="31.2"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7" t="s">
        <v>634</v>
      </c>
    </row>
    <row r="587" spans="1:7" s="5" customFormat="1" x14ac:dyDescent="0.3">
      <c r="A587" s="47" t="s">
        <v>403</v>
      </c>
      <c r="B587" s="47" t="s">
        <v>629</v>
      </c>
      <c r="C587" s="47" t="s">
        <v>553</v>
      </c>
      <c r="D587" s="47" t="s">
        <v>630</v>
      </c>
      <c r="E587" s="47"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3"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9" t="s">
        <v>8</v>
      </c>
      <c r="C600" s="49" t="s">
        <v>655</v>
      </c>
      <c r="D600" s="49"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50" t="s">
        <v>663</v>
      </c>
      <c r="B608" s="49">
        <v>10</v>
      </c>
      <c r="C608" s="50" t="s">
        <v>664</v>
      </c>
      <c r="D608" s="49">
        <v>2500</v>
      </c>
    </row>
    <row r="609" spans="1:6" s="5" customFormat="1" x14ac:dyDescent="0.3"/>
    <row r="610" spans="1:6" s="5" customFormat="1" x14ac:dyDescent="0.3">
      <c r="C610" s="5" t="str">
        <f ca="1">_xlfn.FORMULATEXT(D601)</f>
        <v>=AND(B601&gt;=$B$608,C601&gt;=$D$608)</v>
      </c>
    </row>
    <row r="612" spans="1:6" x14ac:dyDescent="0.3">
      <c r="A612" s="23" t="s">
        <v>665</v>
      </c>
    </row>
    <row r="613" spans="1:6" ht="171.6" x14ac:dyDescent="0.3">
      <c r="A613" s="5" t="s">
        <v>666</v>
      </c>
    </row>
    <row r="615" spans="1:6" x14ac:dyDescent="0.3">
      <c r="A615" s="11" t="s">
        <v>104</v>
      </c>
      <c r="B615" s="11" t="s">
        <v>667</v>
      </c>
      <c r="C615" s="11" t="s">
        <v>305</v>
      </c>
      <c r="D615" s="11" t="s">
        <v>105</v>
      </c>
      <c r="E615" s="11" t="s">
        <v>668</v>
      </c>
      <c r="F615" s="51" t="s">
        <v>669</v>
      </c>
    </row>
    <row r="616" spans="1:6" x14ac:dyDescent="0.3">
      <c r="A616" s="8">
        <v>10021</v>
      </c>
      <c r="B616" s="8" t="s">
        <v>637</v>
      </c>
      <c r="C616" s="8" t="s">
        <v>670</v>
      </c>
      <c r="D616" s="22">
        <v>45932</v>
      </c>
      <c r="E616" s="8">
        <v>8500</v>
      </c>
      <c r="F616" s="9" t="str">
        <f>IF(OR(E616&gt;10000,B616="VIP"),"High","Standard")</f>
        <v>Standard</v>
      </c>
    </row>
    <row r="617" spans="1:6" x14ac:dyDescent="0.3">
      <c r="A617" s="8">
        <v>10022</v>
      </c>
      <c r="B617" s="8" t="s">
        <v>671</v>
      </c>
      <c r="C617" s="8" t="s">
        <v>672</v>
      </c>
      <c r="D617" s="22">
        <v>45933</v>
      </c>
      <c r="E617" s="8">
        <v>4200</v>
      </c>
      <c r="F617" s="9" t="str">
        <f t="shared" ref="F617:F625" si="21">IF(OR(E617&gt;10000,B617="VIP"),"High","Standard")</f>
        <v>High</v>
      </c>
    </row>
    <row r="618" spans="1:6" x14ac:dyDescent="0.3">
      <c r="A618" s="8">
        <v>10023</v>
      </c>
      <c r="B618" s="8" t="s">
        <v>637</v>
      </c>
      <c r="C618" s="8" t="s">
        <v>673</v>
      </c>
      <c r="D618" s="22">
        <v>45933</v>
      </c>
      <c r="E618" s="8">
        <v>12500</v>
      </c>
      <c r="F618" s="9" t="str">
        <f t="shared" si="21"/>
        <v>High</v>
      </c>
    </row>
    <row r="619" spans="1:6" x14ac:dyDescent="0.3">
      <c r="A619" s="8">
        <v>10024</v>
      </c>
      <c r="B619" s="8" t="s">
        <v>637</v>
      </c>
      <c r="C619" s="8" t="s">
        <v>674</v>
      </c>
      <c r="D619" s="22">
        <v>45934</v>
      </c>
      <c r="E619" s="8">
        <v>9999</v>
      </c>
      <c r="F619" s="9" t="str">
        <f t="shared" si="21"/>
        <v>Standard</v>
      </c>
    </row>
    <row r="620" spans="1:6" x14ac:dyDescent="0.3">
      <c r="A620" s="8">
        <v>10025</v>
      </c>
      <c r="B620" s="8" t="s">
        <v>671</v>
      </c>
      <c r="C620" s="8" t="s">
        <v>670</v>
      </c>
      <c r="D620" s="22">
        <v>45934</v>
      </c>
      <c r="E620" s="8">
        <v>10000</v>
      </c>
      <c r="F620" s="9" t="str">
        <f t="shared" si="21"/>
        <v>High</v>
      </c>
    </row>
    <row r="621" spans="1:6" x14ac:dyDescent="0.3">
      <c r="A621" s="8">
        <v>10026</v>
      </c>
      <c r="B621" s="8" t="s">
        <v>637</v>
      </c>
      <c r="C621" s="8" t="s">
        <v>672</v>
      </c>
      <c r="D621" s="22">
        <v>45935</v>
      </c>
      <c r="E621" s="8">
        <v>10001</v>
      </c>
      <c r="F621" s="9" t="str">
        <f t="shared" si="21"/>
        <v>High</v>
      </c>
    </row>
    <row r="622" spans="1:6" x14ac:dyDescent="0.3">
      <c r="A622" s="8">
        <v>10027</v>
      </c>
      <c r="B622" s="8" t="s">
        <v>637</v>
      </c>
      <c r="C622" s="8" t="s">
        <v>673</v>
      </c>
      <c r="D622" s="22">
        <v>45936</v>
      </c>
      <c r="E622" s="8">
        <v>17500</v>
      </c>
      <c r="F622" s="9" t="str">
        <f t="shared" si="21"/>
        <v>High</v>
      </c>
    </row>
    <row r="623" spans="1:6" x14ac:dyDescent="0.3">
      <c r="A623" s="8">
        <v>10028</v>
      </c>
      <c r="B623" s="8" t="s">
        <v>637</v>
      </c>
      <c r="C623" s="8" t="s">
        <v>674</v>
      </c>
      <c r="D623" s="22">
        <v>45936</v>
      </c>
      <c r="E623" s="8">
        <v>5400</v>
      </c>
      <c r="F623" s="9" t="str">
        <f t="shared" si="21"/>
        <v>Standard</v>
      </c>
    </row>
    <row r="624" spans="1:6" x14ac:dyDescent="0.3">
      <c r="A624" s="8">
        <v>10029</v>
      </c>
      <c r="B624" s="8" t="s">
        <v>671</v>
      </c>
      <c r="C624" s="8" t="s">
        <v>672</v>
      </c>
      <c r="D624" s="22">
        <v>45937</v>
      </c>
      <c r="E624" s="8">
        <v>15000</v>
      </c>
      <c r="F624" s="9" t="str">
        <f t="shared" si="21"/>
        <v>High</v>
      </c>
    </row>
    <row r="625" spans="1:7" x14ac:dyDescent="0.3">
      <c r="A625" s="8">
        <v>10030</v>
      </c>
      <c r="B625" s="8" t="s">
        <v>637</v>
      </c>
      <c r="C625" s="8" t="s">
        <v>670</v>
      </c>
      <c r="D625" s="22">
        <v>45937</v>
      </c>
      <c r="E625" s="8">
        <v>10250</v>
      </c>
      <c r="F625" s="9" t="str">
        <f t="shared" si="21"/>
        <v>High</v>
      </c>
    </row>
    <row r="627" spans="1:7" ht="27.6" customHeight="1" x14ac:dyDescent="0.3">
      <c r="A627" s="5"/>
      <c r="B627" s="5"/>
      <c r="C627" s="5"/>
      <c r="D627" s="5"/>
      <c r="E627" s="30" t="str">
        <f ca="1">_xlfn.FORMULATEXT(F616)</f>
        <v>=IF(OR(E616&gt;10000,B616="VIP"),"High","Standard")</v>
      </c>
      <c r="F627" s="30"/>
      <c r="G627" s="5"/>
    </row>
    <row r="628" spans="1:7" x14ac:dyDescent="0.3">
      <c r="A628" s="23"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857</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858</v>
      </c>
      <c r="B635" s="5"/>
      <c r="C635" s="5"/>
      <c r="D635" s="5"/>
      <c r="E635" s="5"/>
      <c r="F635" s="5"/>
      <c r="G635" s="5"/>
    </row>
    <row r="636" spans="1:7" x14ac:dyDescent="0.3">
      <c r="A636" s="5" t="s">
        <v>859</v>
      </c>
      <c r="B636" s="5"/>
      <c r="C636" s="5"/>
      <c r="D636" s="5"/>
      <c r="E636" s="5"/>
      <c r="F636" s="5"/>
      <c r="G636" s="5"/>
    </row>
    <row r="637" spans="1:7" x14ac:dyDescent="0.3">
      <c r="A637" s="5" t="s">
        <v>860</v>
      </c>
      <c r="B637" s="5"/>
      <c r="C637" s="5"/>
      <c r="D637" s="5"/>
      <c r="E637" s="5"/>
      <c r="F637" s="5"/>
      <c r="G637" s="5"/>
    </row>
    <row r="638" spans="1:7" x14ac:dyDescent="0.3">
      <c r="A638" s="5" t="s">
        <v>861</v>
      </c>
      <c r="B638" s="5"/>
      <c r="C638" s="5"/>
      <c r="D638" s="5"/>
      <c r="E638" s="5"/>
      <c r="F638" s="5"/>
      <c r="G638" s="5"/>
    </row>
    <row r="639" spans="1:7" x14ac:dyDescent="0.3">
      <c r="A639" s="5" t="s">
        <v>862</v>
      </c>
      <c r="B639" s="5"/>
      <c r="C639" s="5"/>
      <c r="D639" s="5"/>
      <c r="E639" s="5"/>
      <c r="F639" s="5"/>
      <c r="G639" s="5"/>
    </row>
    <row r="640" spans="1:7" x14ac:dyDescent="0.3">
      <c r="A640" s="5"/>
      <c r="B640" s="5"/>
      <c r="C640" s="5"/>
      <c r="D640" s="5"/>
      <c r="E640" s="5"/>
      <c r="F640" s="5"/>
      <c r="G640" s="5"/>
    </row>
    <row r="641" spans="1:7" x14ac:dyDescent="0.3">
      <c r="A641" s="47" t="s">
        <v>678</v>
      </c>
      <c r="B641" s="47" t="s">
        <v>679</v>
      </c>
      <c r="C641" s="47" t="s">
        <v>680</v>
      </c>
      <c r="D641" s="47" t="s">
        <v>681</v>
      </c>
      <c r="E641" s="47"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3"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4" t="s">
        <v>694</v>
      </c>
      <c r="B659" s="52">
        <v>45731</v>
      </c>
      <c r="C659" s="8"/>
      <c r="D659" s="8"/>
    </row>
    <row r="660" spans="1:4" s="5" customFormat="1" x14ac:dyDescent="0.3">
      <c r="A660" s="8"/>
      <c r="B660" s="8"/>
      <c r="C660" s="8"/>
      <c r="D660" s="8"/>
    </row>
    <row r="661" spans="1:4" s="5" customFormat="1" x14ac:dyDescent="0.3">
      <c r="A661" s="14" t="s">
        <v>695</v>
      </c>
      <c r="B661" s="14" t="s">
        <v>696</v>
      </c>
      <c r="C661" s="14" t="s">
        <v>307</v>
      </c>
      <c r="D661" s="53" t="s">
        <v>697</v>
      </c>
    </row>
    <row r="662" spans="1:4" s="5" customFormat="1" x14ac:dyDescent="0.3">
      <c r="A662" s="8" t="s">
        <v>698</v>
      </c>
      <c r="B662" s="22">
        <v>45716</v>
      </c>
      <c r="C662" s="8" t="s">
        <v>699</v>
      </c>
      <c r="D662" s="9" t="str">
        <f>IF(NOT(C662="Paid"),"Overdue","")</f>
        <v>Overdue</v>
      </c>
    </row>
    <row r="663" spans="1:4" s="5" customFormat="1" x14ac:dyDescent="0.3">
      <c r="A663" s="8" t="s">
        <v>700</v>
      </c>
      <c r="B663" s="22">
        <v>45688</v>
      </c>
      <c r="C663" s="8" t="s">
        <v>701</v>
      </c>
      <c r="D663" s="9" t="str">
        <f t="shared" ref="D663:D667" si="23">IF(NOT(C663="Paid"),"Overdue","")</f>
        <v/>
      </c>
    </row>
    <row r="664" spans="1:4" s="5" customFormat="1" x14ac:dyDescent="0.3">
      <c r="A664" s="8" t="s">
        <v>702</v>
      </c>
      <c r="B664" s="22">
        <v>45726</v>
      </c>
      <c r="C664" s="8" t="s">
        <v>703</v>
      </c>
      <c r="D664" s="9" t="str">
        <f t="shared" si="23"/>
        <v>Overdue</v>
      </c>
    </row>
    <row r="665" spans="1:4" s="5" customFormat="1" x14ac:dyDescent="0.3">
      <c r="A665" s="8" t="s">
        <v>704</v>
      </c>
      <c r="B665" s="22">
        <v>45703</v>
      </c>
      <c r="C665" s="8" t="s">
        <v>705</v>
      </c>
      <c r="D665" s="9" t="str">
        <f t="shared" si="23"/>
        <v>Overdue</v>
      </c>
    </row>
    <row r="666" spans="1:4" s="5" customFormat="1" x14ac:dyDescent="0.3">
      <c r="A666" s="8" t="s">
        <v>706</v>
      </c>
      <c r="B666" s="22">
        <v>45717</v>
      </c>
      <c r="C666" s="8" t="s">
        <v>707</v>
      </c>
      <c r="D666" s="9" t="str">
        <f t="shared" si="23"/>
        <v>Overdue</v>
      </c>
    </row>
    <row r="667" spans="1:4" s="5" customFormat="1" x14ac:dyDescent="0.3">
      <c r="A667" s="8" t="s">
        <v>708</v>
      </c>
      <c r="B667" s="22">
        <v>45698</v>
      </c>
      <c r="C667" s="8" t="s">
        <v>701</v>
      </c>
      <c r="D667" s="9" t="str">
        <f t="shared" si="23"/>
        <v/>
      </c>
    </row>
    <row r="668" spans="1:4" s="5" customFormat="1" x14ac:dyDescent="0.3"/>
    <row r="669" spans="1:4" s="5" customFormat="1" x14ac:dyDescent="0.3">
      <c r="C669" s="54" t="str">
        <f ca="1">_xlfn.FORMULATEXT(D662)</f>
        <v>=IF(NOT(C662="Paid"),"Overdue","")</v>
      </c>
      <c r="D669" s="54"/>
    </row>
    <row r="670" spans="1:4" s="5" customFormat="1" x14ac:dyDescent="0.3"/>
    <row r="671" spans="1:4" s="5" customFormat="1" x14ac:dyDescent="0.3">
      <c r="A671" s="23" t="s">
        <v>709</v>
      </c>
    </row>
    <row r="672" spans="1:4" s="5" customFormat="1" ht="156" x14ac:dyDescent="0.3">
      <c r="A672" s="5" t="s">
        <v>710</v>
      </c>
    </row>
    <row r="673" spans="1:5" s="5" customFormat="1" x14ac:dyDescent="0.3"/>
    <row r="674" spans="1:5" s="5" customFormat="1" x14ac:dyDescent="0.3">
      <c r="A674" s="11" t="s">
        <v>711</v>
      </c>
      <c r="B674" s="11" t="s">
        <v>220</v>
      </c>
      <c r="C674" s="11" t="s">
        <v>712</v>
      </c>
      <c r="D674" s="55" t="s">
        <v>713</v>
      </c>
      <c r="E674" s="55" t="s">
        <v>714</v>
      </c>
    </row>
    <row r="675" spans="1:5" s="5" customFormat="1" x14ac:dyDescent="0.3">
      <c r="A675" s="8" t="s">
        <v>524</v>
      </c>
      <c r="B675" s="8">
        <v>96</v>
      </c>
      <c r="C675" s="9" t="str">
        <f>IF(B675&gt;=90,"A",IF(B675&gt;=80,"B",IF(B675&gt;=70,"C",IF(B675&gt;=60,"D","F"))))</f>
        <v>A</v>
      </c>
      <c r="D675" s="8" t="s">
        <v>715</v>
      </c>
      <c r="E675" s="8">
        <v>90</v>
      </c>
    </row>
    <row r="676" spans="1:5" s="5" customFormat="1" x14ac:dyDescent="0.3">
      <c r="A676" s="8" t="s">
        <v>530</v>
      </c>
      <c r="B676" s="8">
        <v>88</v>
      </c>
      <c r="C676" s="9" t="str">
        <f t="shared" ref="C676:C682" si="24">IF(B676&gt;=90,"A",IF(B676&gt;=80,"B",IF(B676&gt;=70,"C",IF(B676&gt;=60,"D","F"))))</f>
        <v>B</v>
      </c>
      <c r="D676" s="8" t="s">
        <v>716</v>
      </c>
      <c r="E676" s="8">
        <v>80</v>
      </c>
    </row>
    <row r="677" spans="1:5" s="5" customFormat="1" x14ac:dyDescent="0.3">
      <c r="A677" s="8" t="s">
        <v>640</v>
      </c>
      <c r="B677" s="8">
        <v>73</v>
      </c>
      <c r="C677" s="9" t="str">
        <f t="shared" si="24"/>
        <v>C</v>
      </c>
      <c r="D677" s="8" t="s">
        <v>717</v>
      </c>
      <c r="E677" s="8">
        <v>70</v>
      </c>
    </row>
    <row r="678" spans="1:5" s="5" customFormat="1" x14ac:dyDescent="0.3">
      <c r="A678" s="8" t="s">
        <v>120</v>
      </c>
      <c r="B678" s="8">
        <v>67</v>
      </c>
      <c r="C678" s="9" t="str">
        <f t="shared" si="24"/>
        <v>D</v>
      </c>
      <c r="D678" s="8" t="s">
        <v>718</v>
      </c>
      <c r="E678" s="8">
        <v>60</v>
      </c>
    </row>
    <row r="679" spans="1:5" s="5" customFormat="1" x14ac:dyDescent="0.3">
      <c r="A679" s="8" t="s">
        <v>646</v>
      </c>
      <c r="B679" s="8">
        <v>59</v>
      </c>
      <c r="C679" s="9" t="str">
        <f t="shared" si="24"/>
        <v>F</v>
      </c>
      <c r="D679" s="8" t="s">
        <v>719</v>
      </c>
      <c r="E679" s="8">
        <v>0</v>
      </c>
    </row>
    <row r="680" spans="1:5" s="5" customFormat="1" x14ac:dyDescent="0.3">
      <c r="A680" s="8" t="s">
        <v>531</v>
      </c>
      <c r="B680" s="8">
        <v>80</v>
      </c>
      <c r="C680" s="9" t="str">
        <f t="shared" si="24"/>
        <v>B</v>
      </c>
      <c r="D680" s="8"/>
      <c r="E680" s="8"/>
    </row>
    <row r="681" spans="1:5" s="5" customFormat="1" x14ac:dyDescent="0.3">
      <c r="A681" s="8" t="s">
        <v>631</v>
      </c>
      <c r="B681" s="8">
        <v>90</v>
      </c>
      <c r="C681" s="9" t="str">
        <f t="shared" si="24"/>
        <v>A</v>
      </c>
      <c r="D681" s="8"/>
      <c r="E681" s="8"/>
    </row>
    <row r="682" spans="1:5" s="5" customFormat="1" x14ac:dyDescent="0.3">
      <c r="A682" s="8" t="s">
        <v>720</v>
      </c>
      <c r="B682" s="8">
        <v>70</v>
      </c>
      <c r="C682" s="9" t="str">
        <f t="shared" si="24"/>
        <v>C</v>
      </c>
      <c r="D682" s="8"/>
      <c r="E682" s="8"/>
    </row>
    <row r="683" spans="1:5" s="5" customFormat="1" x14ac:dyDescent="0.3"/>
    <row r="684" spans="1:5" s="5" customFormat="1" ht="14.4" customHeight="1" x14ac:dyDescent="0.3">
      <c r="B684" s="54" t="str">
        <f ca="1">_xlfn.FORMULATEXT(C675)</f>
        <v>=IF(B675&gt;=90,"A",IF(B675&gt;=80,"B",IF(B675&gt;=70,"C",IF(B675&gt;=60,"D","F"))))</v>
      </c>
      <c r="C684" s="54"/>
    </row>
    <row r="685" spans="1:5" s="5" customFormat="1" x14ac:dyDescent="0.3">
      <c r="A685" s="56" t="s">
        <v>722</v>
      </c>
      <c r="B685" s="54" t="s">
        <v>721</v>
      </c>
      <c r="C685" s="54"/>
    </row>
    <row r="686" spans="1:5" s="5" customFormat="1" x14ac:dyDescent="0.3"/>
    <row r="687" spans="1:5" s="5" customFormat="1" x14ac:dyDescent="0.3">
      <c r="A687" s="23" t="s">
        <v>723</v>
      </c>
    </row>
    <row r="688" spans="1:5" s="5" customFormat="1" ht="156" x14ac:dyDescent="0.3">
      <c r="A688" s="8" t="s">
        <v>724</v>
      </c>
    </row>
    <row r="689" spans="1:6" s="5" customFormat="1" x14ac:dyDescent="0.3">
      <c r="A689" s="8"/>
    </row>
    <row r="690" spans="1:6" s="5" customFormat="1" x14ac:dyDescent="0.3">
      <c r="A690" s="11" t="s">
        <v>305</v>
      </c>
      <c r="B690" s="11" t="s">
        <v>725</v>
      </c>
      <c r="C690" s="11" t="s">
        <v>726</v>
      </c>
      <c r="D690" s="55" t="s">
        <v>667</v>
      </c>
      <c r="E690" s="55" t="s">
        <v>727</v>
      </c>
      <c r="F690" s="55" t="s">
        <v>728</v>
      </c>
    </row>
    <row r="691" spans="1:6" s="5" customFormat="1" x14ac:dyDescent="0.3">
      <c r="A691" s="8" t="s">
        <v>117</v>
      </c>
      <c r="B691" s="8">
        <v>8200</v>
      </c>
      <c r="C691" s="9">
        <f>IF(B691&gt;=$E$691,B691*$F$691,IF(B691&gt;=$E$692,B691*$F$692,B691*$F$693))</f>
        <v>246</v>
      </c>
      <c r="D691" s="8" t="s">
        <v>729</v>
      </c>
      <c r="E691" s="8">
        <v>25000</v>
      </c>
      <c r="F691" s="8">
        <v>7.0000000000000007E-2</v>
      </c>
    </row>
    <row r="692" spans="1:6" s="5" customFormat="1" x14ac:dyDescent="0.3">
      <c r="A692" s="8" t="s">
        <v>730</v>
      </c>
      <c r="B692" s="8">
        <v>12000</v>
      </c>
      <c r="C692" s="9">
        <f t="shared" ref="C692:C698" si="25">IF(B692&gt;=$E$691,B692*$F$691,IF(B692&gt;=$E$692,B692*$F$692,B692*$F$693))</f>
        <v>600</v>
      </c>
      <c r="D692" s="8" t="s">
        <v>731</v>
      </c>
      <c r="E692" s="8">
        <v>10000</v>
      </c>
      <c r="F692" s="8">
        <v>0.05</v>
      </c>
    </row>
    <row r="693" spans="1:6" s="5" customFormat="1" x14ac:dyDescent="0.3">
      <c r="A693" s="8" t="s">
        <v>732</v>
      </c>
      <c r="B693" s="8">
        <v>25750</v>
      </c>
      <c r="C693" s="9">
        <f t="shared" si="25"/>
        <v>1802.5000000000002</v>
      </c>
      <c r="D693" s="8" t="s">
        <v>733</v>
      </c>
      <c r="E693" s="8">
        <v>0</v>
      </c>
      <c r="F693" s="8">
        <v>0.03</v>
      </c>
    </row>
    <row r="694" spans="1:6" s="5" customFormat="1" x14ac:dyDescent="0.3">
      <c r="A694" s="8" t="s">
        <v>734</v>
      </c>
      <c r="B694" s="8">
        <v>18150</v>
      </c>
      <c r="C694" s="9">
        <f t="shared" si="25"/>
        <v>907.5</v>
      </c>
      <c r="D694" s="8"/>
      <c r="E694" s="8"/>
      <c r="F694" s="8"/>
    </row>
    <row r="695" spans="1:6" s="5" customFormat="1" x14ac:dyDescent="0.3">
      <c r="A695" s="8" t="s">
        <v>735</v>
      </c>
      <c r="B695" s="8">
        <v>9500</v>
      </c>
      <c r="C695" s="9">
        <f t="shared" si="25"/>
        <v>285</v>
      </c>
      <c r="D695" s="8"/>
      <c r="E695" s="8"/>
      <c r="F695" s="8"/>
    </row>
    <row r="696" spans="1:6" s="5" customFormat="1" x14ac:dyDescent="0.3">
      <c r="A696" s="8" t="s">
        <v>736</v>
      </c>
      <c r="B696" s="8">
        <v>30500</v>
      </c>
      <c r="C696" s="9">
        <f t="shared" si="25"/>
        <v>2135</v>
      </c>
      <c r="D696" s="8"/>
      <c r="E696" s="8"/>
      <c r="F696" s="8"/>
    </row>
    <row r="697" spans="1:6" s="5" customFormat="1" x14ac:dyDescent="0.3">
      <c r="A697" s="8" t="s">
        <v>737</v>
      </c>
      <c r="B697" s="8">
        <v>24000</v>
      </c>
      <c r="C697" s="9">
        <f t="shared" si="25"/>
        <v>1200</v>
      </c>
      <c r="D697" s="8"/>
      <c r="E697" s="8"/>
      <c r="F697" s="8"/>
    </row>
    <row r="698" spans="1:6" s="5" customFormat="1" x14ac:dyDescent="0.3">
      <c r="A698" s="8" t="s">
        <v>738</v>
      </c>
      <c r="B698" s="8">
        <v>10000</v>
      </c>
      <c r="C698" s="9">
        <f t="shared" si="25"/>
        <v>500</v>
      </c>
      <c r="D698" s="8"/>
      <c r="E698" s="8"/>
      <c r="F698" s="8"/>
    </row>
    <row r="699" spans="1:6" s="5" customFormat="1" x14ac:dyDescent="0.3">
      <c r="A699" s="8"/>
      <c r="B699" s="8"/>
      <c r="C699" s="8"/>
      <c r="D699" s="8"/>
      <c r="E699" s="8"/>
      <c r="F699" s="8"/>
    </row>
    <row r="700" spans="1:6" s="5" customFormat="1" x14ac:dyDescent="0.3">
      <c r="A700" s="57" t="s">
        <v>739</v>
      </c>
      <c r="B700" s="58" t="s">
        <v>740</v>
      </c>
      <c r="C700" s="58"/>
      <c r="D700" s="8"/>
      <c r="E700" s="8"/>
      <c r="F700" s="8"/>
    </row>
    <row r="701" spans="1:6" s="5" customFormat="1" x14ac:dyDescent="0.3"/>
    <row r="702" spans="1:6" s="5" customFormat="1" x14ac:dyDescent="0.3">
      <c r="B702" s="54" t="str">
        <f ca="1">_xlfn.FORMULATEXT(C691)</f>
        <v>=IF(B691&gt;=$E$691,B691*$F$691,IF(B691&gt;=$E$692,B691*$F$692,B691*$F$693))</v>
      </c>
      <c r="C702" s="54"/>
    </row>
    <row r="703" spans="1:6" s="5" customFormat="1" x14ac:dyDescent="0.3">
      <c r="A703" s="8"/>
    </row>
    <row r="704" spans="1:6" s="5" customFormat="1" x14ac:dyDescent="0.3">
      <c r="A704" s="23" t="s">
        <v>741</v>
      </c>
    </row>
    <row r="705" spans="1:9" s="5" customFormat="1" ht="187.2" x14ac:dyDescent="0.3">
      <c r="A705" s="8" t="s">
        <v>742</v>
      </c>
    </row>
    <row r="706" spans="1:9" s="5" customFormat="1" ht="109.2" x14ac:dyDescent="0.3">
      <c r="A706" s="8" t="s">
        <v>743</v>
      </c>
    </row>
    <row r="707" spans="1:9" s="5" customFormat="1" x14ac:dyDescent="0.3">
      <c r="A707" s="8"/>
    </row>
    <row r="708" spans="1:9" s="5" customFormat="1" x14ac:dyDescent="0.3">
      <c r="A708" s="11" t="s">
        <v>744</v>
      </c>
      <c r="B708" s="11" t="s">
        <v>745</v>
      </c>
      <c r="C708" s="11" t="s">
        <v>746</v>
      </c>
      <c r="D708" s="8"/>
      <c r="E708" s="55" t="s">
        <v>747</v>
      </c>
      <c r="F708" s="55" t="s">
        <v>748</v>
      </c>
      <c r="G708" s="8"/>
      <c r="H708" s="8"/>
      <c r="I708" s="8"/>
    </row>
    <row r="709" spans="1:9" s="5" customFormat="1" x14ac:dyDescent="0.3">
      <c r="A709" s="8" t="s">
        <v>749</v>
      </c>
      <c r="B709" s="8">
        <v>0.8</v>
      </c>
      <c r="C709" s="9" t="str" cm="1">
        <f t="array" ref="C709">_xlfn.IFS(B709&lt;=$E$709,$F$709,B709&lt;=$E$710,$F$710,B709&lt;=$E$711,$F$711,B709&lt;=$E$712,$F$712,B709&gt;$E$712,$F$713)</f>
        <v>Letter</v>
      </c>
      <c r="D709" s="8"/>
      <c r="E709" s="8">
        <v>1</v>
      </c>
      <c r="F709" s="8" t="s">
        <v>750</v>
      </c>
      <c r="G709" s="8"/>
      <c r="H709" s="8"/>
      <c r="I709" s="8"/>
    </row>
    <row r="710" spans="1:9" s="5" customFormat="1" x14ac:dyDescent="0.3">
      <c r="A710" s="8" t="s">
        <v>751</v>
      </c>
      <c r="B710" s="8">
        <v>3.5</v>
      </c>
      <c r="C710" s="9" t="str" cm="1">
        <f t="array" ref="C710">_xlfn.IFS(B710&lt;=$E$709,$F$709,B710&lt;=$E$710,$F$710,B710&lt;=$E$711,$F$711,B710&lt;=$E$712,$F$712,B710&gt;$E$712,$F$713)</f>
        <v>Standard</v>
      </c>
      <c r="D710" s="8"/>
      <c r="E710" s="8">
        <v>5</v>
      </c>
      <c r="F710" s="8" t="s">
        <v>637</v>
      </c>
      <c r="G710" s="8"/>
      <c r="H710" s="8"/>
      <c r="I710" s="8"/>
    </row>
    <row r="711" spans="1:9" s="5" customFormat="1" x14ac:dyDescent="0.3">
      <c r="A711" s="8" t="s">
        <v>752</v>
      </c>
      <c r="B711" s="8">
        <v>12</v>
      </c>
      <c r="C711" s="9" t="str" cm="1">
        <f t="array" ref="C711">_xlfn.IFS(B711&lt;=$E$709,$F$709,B711&lt;=$E$710,$F$710,B711&lt;=$E$711,$F$711,B711&lt;=$E$712,$F$712,B711&gt;$E$712,$F$713)</f>
        <v>Ground</v>
      </c>
      <c r="D711" s="8"/>
      <c r="E711" s="8">
        <v>20</v>
      </c>
      <c r="F711" s="8" t="s">
        <v>753</v>
      </c>
      <c r="G711" s="8"/>
      <c r="H711" s="8"/>
      <c r="I711" s="8"/>
    </row>
    <row r="712" spans="1:9" s="5" customFormat="1" x14ac:dyDescent="0.3">
      <c r="A712" s="8" t="s">
        <v>754</v>
      </c>
      <c r="B712" s="8">
        <v>0.3</v>
      </c>
      <c r="C712" s="9" t="str" cm="1">
        <f t="array" ref="C712">_xlfn.IFS(B712&lt;=$E$709,$F$709,B712&lt;=$E$710,$F$710,B712&lt;=$E$711,$F$711,B712&lt;=$E$712,$F$712,B712&gt;$E$712,$F$713)</f>
        <v>Letter</v>
      </c>
      <c r="D712" s="8"/>
      <c r="E712" s="8">
        <v>50</v>
      </c>
      <c r="F712" s="8" t="s">
        <v>755</v>
      </c>
      <c r="G712" s="8"/>
      <c r="H712" s="8"/>
      <c r="I712" s="8"/>
    </row>
    <row r="713" spans="1:9" s="5" customFormat="1" x14ac:dyDescent="0.3">
      <c r="A713" s="8" t="s">
        <v>756</v>
      </c>
      <c r="B713" s="8">
        <v>28</v>
      </c>
      <c r="C713" s="9" t="str" cm="1">
        <f t="array" ref="C713">_xlfn.IFS(B713&lt;=$E$709,$F$709,B713&lt;=$E$710,$F$710,B713&lt;=$E$711,$F$711,B713&lt;=$E$712,$F$712,B713&gt;$E$712,$F$713)</f>
        <v>Freight</v>
      </c>
      <c r="D713" s="8"/>
      <c r="E713" s="8"/>
      <c r="F713" s="8" t="s">
        <v>757</v>
      </c>
      <c r="G713" s="8"/>
      <c r="H713" s="8"/>
      <c r="I713" s="8"/>
    </row>
    <row r="714" spans="1:9" s="5" customFormat="1" x14ac:dyDescent="0.3">
      <c r="A714" s="8" t="s">
        <v>758</v>
      </c>
      <c r="B714" s="8">
        <v>7</v>
      </c>
      <c r="C714" s="9" t="str" cm="1">
        <f t="array" ref="C714">_xlfn.IFS(B714&lt;=$E$709,$F$709,B714&lt;=$E$710,$F$710,B714&lt;=$E$711,$F$711,B714&lt;=$E$712,$F$712,B714&gt;$E$712,$F$713)</f>
        <v>Ground</v>
      </c>
      <c r="D714" s="8"/>
      <c r="E714" s="8"/>
      <c r="F714" s="8"/>
      <c r="G714" s="8"/>
      <c r="H714" s="8"/>
      <c r="I714" s="8"/>
    </row>
    <row r="715" spans="1:9" s="5" customFormat="1" x14ac:dyDescent="0.3">
      <c r="A715" s="8" t="s">
        <v>759</v>
      </c>
      <c r="B715" s="8">
        <v>55</v>
      </c>
      <c r="C715" s="9" t="str" cm="1">
        <f t="array" ref="C715">_xlfn.IFS(B715&lt;=$E$709,$F$709,B715&lt;=$E$710,$F$710,B715&lt;=$E$711,$F$711,B715&lt;=$E$712,$F$712,B715&gt;$E$712,$F$713)</f>
        <v>Heavy freight</v>
      </c>
      <c r="D715" s="8"/>
      <c r="E715" s="8"/>
      <c r="F715" s="8"/>
      <c r="G715" s="8"/>
      <c r="H715" s="8"/>
      <c r="I715" s="8"/>
    </row>
    <row r="716" spans="1:9" s="5" customFormat="1" x14ac:dyDescent="0.3">
      <c r="A716" s="8" t="s">
        <v>760</v>
      </c>
      <c r="B716" s="8">
        <v>18</v>
      </c>
      <c r="C716" s="9" t="str" cm="1">
        <f t="array" ref="C716">_xlfn.IFS(B716&lt;=$E$709,$F$709,B716&lt;=$E$710,$F$710,B716&lt;=$E$711,$F$711,B716&lt;=$E$712,$F$712,B716&gt;$E$712,$F$713)</f>
        <v>Ground</v>
      </c>
      <c r="D716" s="8"/>
      <c r="E716" s="8"/>
      <c r="F716" s="8"/>
      <c r="G716" s="8"/>
      <c r="H716" s="8"/>
      <c r="I716" s="8"/>
    </row>
    <row r="717" spans="1:9" s="5" customFormat="1" x14ac:dyDescent="0.3">
      <c r="A717" s="8"/>
      <c r="B717" s="8"/>
      <c r="C717" s="8"/>
      <c r="D717" s="8"/>
      <c r="E717" s="8"/>
      <c r="F717" s="8"/>
      <c r="G717" s="8"/>
      <c r="H717" s="8"/>
      <c r="I717" s="8"/>
    </row>
    <row r="718" spans="1:9" s="5" customFormat="1" x14ac:dyDescent="0.3">
      <c r="A718" s="8"/>
      <c r="B718" s="59" t="str">
        <f ca="1">_xlfn.FORMULATEXT(C709)</f>
        <v>=IFS(B709&lt;=$E$709,$F$709,B709&lt;=$E$710,$F$710,B709&lt;=$E$711,$F$711,B709&lt;=$E$712,$F$712,B709&gt;$E$712,$F$713)</v>
      </c>
      <c r="C718" s="59"/>
      <c r="D718" s="59"/>
      <c r="E718" s="8"/>
      <c r="F718" s="8"/>
      <c r="G718" s="8"/>
      <c r="H718" s="8"/>
      <c r="I718" s="8"/>
    </row>
    <row r="719" spans="1:9" s="5" customFormat="1" x14ac:dyDescent="0.3">
      <c r="A719" s="8"/>
      <c r="B719" s="8"/>
      <c r="C719" s="8"/>
      <c r="D719" s="8"/>
      <c r="E719" s="8"/>
      <c r="F719" s="8"/>
      <c r="G719" s="8"/>
      <c r="H719" s="8"/>
      <c r="I719" s="8"/>
    </row>
    <row r="720" spans="1:9" s="5" customFormat="1" x14ac:dyDescent="0.3">
      <c r="A720" s="23" t="s">
        <v>761</v>
      </c>
      <c r="B720" s="8"/>
      <c r="C720" s="8"/>
      <c r="D720" s="8"/>
      <c r="E720" s="8"/>
      <c r="F720" s="8"/>
      <c r="G720" s="8"/>
      <c r="H720" s="8"/>
      <c r="I720" s="8"/>
    </row>
    <row r="721" spans="1:9" s="5" customFormat="1" ht="140.4" x14ac:dyDescent="0.3">
      <c r="A721" s="8" t="s">
        <v>762</v>
      </c>
      <c r="B721" s="8"/>
      <c r="C721" s="8"/>
      <c r="D721" s="8"/>
      <c r="E721" s="8"/>
      <c r="F721" s="8"/>
      <c r="G721" s="8"/>
      <c r="H721" s="8"/>
      <c r="I721" s="8"/>
    </row>
    <row r="722" spans="1:9" s="5" customFormat="1" ht="124.8" x14ac:dyDescent="0.3">
      <c r="A722" s="8" t="s">
        <v>763</v>
      </c>
      <c r="B722" s="8"/>
      <c r="C722" s="8"/>
      <c r="D722" s="8"/>
      <c r="E722" s="8"/>
      <c r="F722" s="8"/>
      <c r="G722" s="8"/>
      <c r="H722" s="8"/>
      <c r="I722" s="8"/>
    </row>
    <row r="723" spans="1:9" s="5" customFormat="1" x14ac:dyDescent="0.3">
      <c r="A723" s="8"/>
      <c r="B723" s="8"/>
      <c r="C723" s="8"/>
      <c r="D723" s="8"/>
      <c r="E723" s="8"/>
      <c r="F723" s="8"/>
      <c r="G723" s="8"/>
      <c r="H723" s="8"/>
      <c r="I723" s="8"/>
    </row>
    <row r="724" spans="1:9" s="5" customFormat="1" x14ac:dyDescent="0.3">
      <c r="A724" s="11" t="s">
        <v>113</v>
      </c>
      <c r="B724" s="11" t="s">
        <v>203</v>
      </c>
      <c r="C724" s="11" t="s">
        <v>764</v>
      </c>
      <c r="D724" s="11" t="s">
        <v>765</v>
      </c>
      <c r="E724" s="11" t="s">
        <v>766</v>
      </c>
      <c r="F724" s="8"/>
      <c r="G724" s="8"/>
      <c r="H724" s="8"/>
      <c r="I724" s="8"/>
    </row>
    <row r="725" spans="1:9" s="5" customFormat="1" x14ac:dyDescent="0.3">
      <c r="A725" s="8" t="s">
        <v>767</v>
      </c>
      <c r="B725" s="8" t="s">
        <v>768</v>
      </c>
      <c r="C725" s="29" t="str" cm="1">
        <f t="array" ref="C725">_xlfn.SWITCH(B725,$A$736,$B$736,$A$737,$B$737,$A$738,$B$738,$A$739,$B$739,$A$740,$B$740,"Unknown")</f>
        <v>Marketing</v>
      </c>
      <c r="D725" s="29" t="str" cm="1">
        <f t="array" ref="D725">_xlfn.SWITCH(B725,$A$736,$C$736,$A$737,$C$737,$A$738,$C$738,$A$739,$C$739,$A$740,$C$740,"Unknown")</f>
        <v>Growth</v>
      </c>
      <c r="E725" s="8" t="s">
        <v>769</v>
      </c>
      <c r="F725" s="8"/>
      <c r="G725" s="8"/>
      <c r="H725" s="8"/>
      <c r="I725" s="8"/>
    </row>
    <row r="726" spans="1:9" s="5" customFormat="1" x14ac:dyDescent="0.3">
      <c r="A726" s="8" t="s">
        <v>117</v>
      </c>
      <c r="B726" s="8" t="s">
        <v>770</v>
      </c>
      <c r="C726" s="29" t="str" cm="1">
        <f t="array" ref="C726">_xlfn.SWITCH(B726,$A$736,$B$736,$A$737,$B$737,$A$738,$B$738,$A$739,$B$739,$A$740,$B$740,"Unknown")</f>
        <v>Engineering</v>
      </c>
      <c r="D726" s="29" t="str" cm="1">
        <f t="array" ref="D726">_xlfn.SWITCH(B726,$A$736,$C$736,$A$737,$C$737,$A$738,$C$738,$A$739,$C$739,$A$740,$C$740,"Unknown")</f>
        <v>Product</v>
      </c>
      <c r="E726" s="8" t="s">
        <v>771</v>
      </c>
      <c r="F726" s="8"/>
      <c r="G726" s="8"/>
      <c r="H726" s="8"/>
      <c r="I726" s="8"/>
    </row>
    <row r="727" spans="1:9" s="5" customFormat="1" x14ac:dyDescent="0.3">
      <c r="A727" s="8" t="s">
        <v>772</v>
      </c>
      <c r="B727" s="8" t="s">
        <v>773</v>
      </c>
      <c r="C727" s="29" t="str" cm="1">
        <f t="array" ref="C727">_xlfn.SWITCH(B727,$A$736,$B$736,$A$737,$B$737,$A$738,$B$738,$A$739,$B$739,$A$740,$B$740,"Unknown")</f>
        <v>Finance</v>
      </c>
      <c r="D727" s="29" t="str" cm="1">
        <f t="array" ref="D727">_xlfn.SWITCH(B727,$A$736,$C$736,$A$737,$C$737,$A$738,$C$738,$A$739,$C$739,$A$740,$C$740,"Unknown")</f>
        <v>Operations</v>
      </c>
      <c r="E727" s="8" t="s">
        <v>774</v>
      </c>
      <c r="F727" s="8"/>
      <c r="G727" s="8"/>
      <c r="H727" s="8"/>
      <c r="I727" s="8"/>
    </row>
    <row r="728" spans="1:9" s="5" customFormat="1" x14ac:dyDescent="0.3">
      <c r="A728" s="8" t="s">
        <v>687</v>
      </c>
      <c r="B728" s="8" t="s">
        <v>775</v>
      </c>
      <c r="C728" s="29" t="str" cm="1">
        <f t="array" ref="C728">_xlfn.SWITCH(B728,$A$736,$B$736,$A$737,$B$737,$A$738,$B$738,$A$739,$B$739,$A$740,$B$740,"Unknown")</f>
        <v>Operations</v>
      </c>
      <c r="D728" s="29" t="str" cm="1">
        <f t="array" ref="D728">_xlfn.SWITCH(B728,$A$736,$C$736,$A$737,$C$737,$A$738,$C$738,$A$739,$C$739,$A$740,$C$740,"Unknown")</f>
        <v>Operations</v>
      </c>
      <c r="E728" s="8" t="s">
        <v>776</v>
      </c>
      <c r="F728" s="8"/>
      <c r="G728" s="8"/>
      <c r="H728" s="8"/>
      <c r="I728" s="8"/>
    </row>
    <row r="729" spans="1:9" s="5" customFormat="1" x14ac:dyDescent="0.3">
      <c r="A729" s="8" t="s">
        <v>777</v>
      </c>
      <c r="B729" s="8" t="s">
        <v>116</v>
      </c>
      <c r="C729" s="29" t="str" cm="1">
        <f t="array" ref="C729">_xlfn.SWITCH(B729,$A$736,$B$736,$A$737,$B$737,$A$738,$B$738,$A$739,$B$739,$A$740,$B$740,"Unknown")</f>
        <v>Human Resources</v>
      </c>
      <c r="D729" s="29" t="str" cm="1">
        <f t="array" ref="D729">_xlfn.SWITCH(B729,$A$736,$C$736,$A$737,$C$737,$A$738,$C$738,$A$739,$C$739,$A$740,$C$740,"Unknown")</f>
        <v>People</v>
      </c>
      <c r="E729" s="8" t="s">
        <v>778</v>
      </c>
      <c r="F729" s="8"/>
      <c r="G729" s="8"/>
      <c r="H729" s="8"/>
      <c r="I729" s="8"/>
    </row>
    <row r="730" spans="1:9" x14ac:dyDescent="0.3">
      <c r="A730" s="8" t="s">
        <v>779</v>
      </c>
      <c r="B730" s="8" t="s">
        <v>770</v>
      </c>
      <c r="C730" s="29" t="str" cm="1">
        <f t="array" ref="C730">_xlfn.SWITCH(B730,$A$736,$B$736,$A$737,$B$737,$A$738,$B$738,$A$739,$B$739,$A$740,$B$740,"Unknown")</f>
        <v>Engineering</v>
      </c>
      <c r="D730" s="29" t="str" cm="1">
        <f t="array" ref="D730">_xlfn.SWITCH(B730,$A$736,$C$736,$A$737,$C$737,$A$738,$C$738,$A$739,$C$739,$A$740,$C$740,"Unknown")</f>
        <v>Product</v>
      </c>
      <c r="E730" s="8" t="s">
        <v>780</v>
      </c>
      <c r="F730" s="8"/>
      <c r="G730" s="8"/>
      <c r="H730" s="8"/>
      <c r="I730" s="8"/>
    </row>
    <row r="731" spans="1:9" x14ac:dyDescent="0.3">
      <c r="A731" s="8" t="s">
        <v>781</v>
      </c>
      <c r="B731" s="8" t="s">
        <v>768</v>
      </c>
      <c r="C731" s="29" t="str" cm="1">
        <f t="array" ref="C731">_xlfn.SWITCH(B731,$A$736,$B$736,$A$737,$B$737,$A$738,$B$738,$A$739,$B$739,$A$740,$B$740,"Unknown")</f>
        <v>Marketing</v>
      </c>
      <c r="D731" s="29" t="str" cm="1">
        <f t="array" ref="D731">_xlfn.SWITCH(B731,$A$736,$C$736,$A$737,$C$737,$A$738,$C$738,$A$739,$C$739,$A$740,$C$740,"Unknown")</f>
        <v>Growth</v>
      </c>
      <c r="E731" s="8" t="s">
        <v>782</v>
      </c>
      <c r="F731" s="8"/>
      <c r="G731" s="8"/>
      <c r="H731" s="8"/>
      <c r="I731" s="8"/>
    </row>
    <row r="732" spans="1:9" x14ac:dyDescent="0.3">
      <c r="A732" s="8" t="s">
        <v>783</v>
      </c>
      <c r="B732" s="8" t="s">
        <v>775</v>
      </c>
      <c r="C732" s="29" t="str" cm="1">
        <f t="array" ref="C732">_xlfn.SWITCH(B732,$A$736,$B$736,$A$737,$B$737,$A$738,$B$738,$A$739,$B$739,$A$740,$B$740,"Unknown")</f>
        <v>Operations</v>
      </c>
      <c r="D732" s="29" t="str" cm="1">
        <f t="array" ref="D732">_xlfn.SWITCH(B732,$A$736,$C$736,$A$737,$C$737,$A$738,$C$738,$A$739,$C$739,$A$740,$C$740,"Unknown")</f>
        <v>Operations</v>
      </c>
      <c r="E732" s="8" t="s">
        <v>784</v>
      </c>
      <c r="F732" s="8"/>
      <c r="G732" s="8"/>
      <c r="H732" s="8"/>
      <c r="I732" s="8"/>
    </row>
    <row r="733" spans="1:9" x14ac:dyDescent="0.3">
      <c r="A733" s="8"/>
      <c r="B733" s="8"/>
      <c r="C733" s="8"/>
      <c r="D733" s="8"/>
      <c r="E733" s="8"/>
      <c r="F733" s="8"/>
      <c r="G733" s="8"/>
      <c r="H733" s="8"/>
      <c r="I733" s="8"/>
    </row>
    <row r="734" spans="1:9" x14ac:dyDescent="0.3">
      <c r="A734" s="8"/>
      <c r="B734" s="8"/>
      <c r="C734" s="8"/>
      <c r="D734" s="8"/>
      <c r="E734" s="8"/>
      <c r="F734" s="8"/>
      <c r="G734" s="8"/>
      <c r="H734" s="8"/>
      <c r="I734" s="8"/>
    </row>
    <row r="735" spans="1:9" x14ac:dyDescent="0.3">
      <c r="A735" s="60" t="s">
        <v>785</v>
      </c>
      <c r="B735" s="60" t="s">
        <v>764</v>
      </c>
      <c r="C735" s="60" t="s">
        <v>765</v>
      </c>
      <c r="D735" s="8"/>
      <c r="E735" s="8"/>
      <c r="F735" s="8"/>
      <c r="G735" s="8"/>
      <c r="H735" s="8"/>
      <c r="I735" s="8"/>
    </row>
    <row r="736" spans="1:9" x14ac:dyDescent="0.3">
      <c r="A736" s="8" t="s">
        <v>768</v>
      </c>
      <c r="B736" s="8" t="s">
        <v>119</v>
      </c>
      <c r="C736" s="8" t="s">
        <v>786</v>
      </c>
      <c r="D736" s="8"/>
      <c r="E736" s="8"/>
      <c r="F736" s="8"/>
      <c r="G736" s="8"/>
      <c r="H736" s="8"/>
      <c r="I736" s="8"/>
    </row>
    <row r="737" spans="1:9" x14ac:dyDescent="0.3">
      <c r="A737" s="8" t="s">
        <v>770</v>
      </c>
      <c r="B737" s="8" t="s">
        <v>787</v>
      </c>
      <c r="C737" s="8" t="s">
        <v>46</v>
      </c>
      <c r="D737" s="8"/>
      <c r="E737" s="8"/>
      <c r="F737" s="8"/>
      <c r="G737" s="8"/>
      <c r="H737" s="8"/>
      <c r="I737" s="8"/>
    </row>
    <row r="738" spans="1:9" x14ac:dyDescent="0.3">
      <c r="A738" s="8" t="s">
        <v>773</v>
      </c>
      <c r="B738" s="8" t="s">
        <v>92</v>
      </c>
      <c r="C738" s="8" t="s">
        <v>90</v>
      </c>
      <c r="D738" s="8"/>
      <c r="E738" s="8"/>
      <c r="F738" s="8"/>
      <c r="G738" s="8"/>
      <c r="H738" s="8"/>
      <c r="I738" s="8"/>
    </row>
    <row r="739" spans="1:9" x14ac:dyDescent="0.3">
      <c r="A739" s="8" t="s">
        <v>775</v>
      </c>
      <c r="B739" s="8" t="s">
        <v>90</v>
      </c>
      <c r="C739" s="8" t="s">
        <v>90</v>
      </c>
      <c r="D739" s="8"/>
      <c r="E739" s="8"/>
      <c r="F739" s="8"/>
      <c r="G739" s="8"/>
      <c r="H739" s="8"/>
      <c r="I739" s="8"/>
    </row>
    <row r="740" spans="1:9" x14ac:dyDescent="0.3">
      <c r="A740" s="8" t="s">
        <v>116</v>
      </c>
      <c r="B740" s="8" t="s">
        <v>788</v>
      </c>
      <c r="C740" s="8" t="s">
        <v>94</v>
      </c>
      <c r="D740" s="8"/>
      <c r="E740" s="8"/>
      <c r="F740" s="8"/>
      <c r="G740" s="8"/>
      <c r="H740" s="8"/>
      <c r="I740" s="8"/>
    </row>
    <row r="742" spans="1:9" x14ac:dyDescent="0.3">
      <c r="B742" s="31" t="str">
        <f ca="1">_xlfn.FORMULATEXT(C725)</f>
        <v>=SWITCH(B725,$A$736,$B$736,$A$737,$B$737,$A$738,$B$738,$A$739,$B$739,$A$740,$B$740,"Unknown")</v>
      </c>
      <c r="C742" s="31"/>
      <c r="D742" s="31"/>
    </row>
    <row r="743" spans="1:9" x14ac:dyDescent="0.3">
      <c r="B743" s="31" t="str">
        <f ca="1">_xlfn.FORMULATEXT(D725)</f>
        <v>=SWITCH(B725,$A$736,$C$736,$A$737,$C$737,$A$738,$C$738,$A$739,$C$739,$A$740,$C$740,"Unknown")</v>
      </c>
      <c r="C743" s="31"/>
      <c r="D743" s="31"/>
    </row>
    <row r="744" spans="1:9" x14ac:dyDescent="0.3">
      <c r="A744" s="8"/>
      <c r="B744" s="2"/>
      <c r="C744" s="2"/>
      <c r="D744" s="2"/>
    </row>
    <row r="745" spans="1:9" x14ac:dyDescent="0.3">
      <c r="A745" s="23" t="s">
        <v>789</v>
      </c>
      <c r="B745" s="2"/>
      <c r="C745" s="2"/>
      <c r="D745" s="2"/>
    </row>
    <row r="746" spans="1:9" x14ac:dyDescent="0.3">
      <c r="A746" s="8" t="s">
        <v>790</v>
      </c>
    </row>
    <row r="747" spans="1:9" ht="31.2" x14ac:dyDescent="0.3">
      <c r="A747" s="8" t="s">
        <v>863</v>
      </c>
    </row>
    <row r="748" spans="1:9" ht="31.2" x14ac:dyDescent="0.3">
      <c r="A748" s="8" t="s">
        <v>864</v>
      </c>
    </row>
    <row r="749" spans="1:9" x14ac:dyDescent="0.3">
      <c r="A749" s="8" t="s">
        <v>865</v>
      </c>
    </row>
    <row r="750" spans="1:9" x14ac:dyDescent="0.3">
      <c r="A750" s="8"/>
    </row>
    <row r="751" spans="1:9" x14ac:dyDescent="0.3">
      <c r="A751" s="8" t="s">
        <v>791</v>
      </c>
      <c r="B751" s="8" t="s">
        <v>792</v>
      </c>
      <c r="C751" s="8" t="s">
        <v>793</v>
      </c>
    </row>
    <row r="752" spans="1:9" x14ac:dyDescent="0.3">
      <c r="A752" s="8">
        <v>8</v>
      </c>
      <c r="B752" s="8">
        <v>10</v>
      </c>
      <c r="C752" s="29">
        <f>IFERROR(B752/A752,0)</f>
        <v>1.25</v>
      </c>
    </row>
    <row r="753" spans="1:3" x14ac:dyDescent="0.3">
      <c r="A753" s="8">
        <v>2</v>
      </c>
      <c r="B753" s="8">
        <v>20</v>
      </c>
      <c r="C753" s="29">
        <f t="shared" ref="C753:C754" si="26">IFERROR(B753/A753,0)</f>
        <v>10</v>
      </c>
    </row>
    <row r="754" spans="1:3" x14ac:dyDescent="0.3">
      <c r="A754" s="8">
        <v>0</v>
      </c>
      <c r="B754" s="8">
        <v>5</v>
      </c>
      <c r="C754" s="29">
        <f t="shared" si="26"/>
        <v>0</v>
      </c>
    </row>
    <row r="755" spans="1:3" x14ac:dyDescent="0.3">
      <c r="A755" s="8"/>
    </row>
    <row r="756" spans="1:3" x14ac:dyDescent="0.3">
      <c r="A756" s="8"/>
      <c r="B756" s="31" t="str">
        <f ca="1">_xlfn.FORMULATEXT(C752)</f>
        <v>=IFERROR(B752/A752,0)</v>
      </c>
      <c r="C756" s="31"/>
    </row>
    <row r="757" spans="1:3" x14ac:dyDescent="0.3">
      <c r="A757" s="8"/>
    </row>
    <row r="758" spans="1:3" x14ac:dyDescent="0.3">
      <c r="A758" s="23" t="s">
        <v>794</v>
      </c>
    </row>
    <row r="759" spans="1:3" ht="187.2" x14ac:dyDescent="0.3">
      <c r="A759" s="8" t="s">
        <v>795</v>
      </c>
    </row>
    <row r="760" spans="1:3" ht="234" x14ac:dyDescent="0.3">
      <c r="A760" s="8" t="s">
        <v>796</v>
      </c>
    </row>
    <row r="761" spans="1:3" x14ac:dyDescent="0.3">
      <c r="A761" s="8"/>
      <c r="B761" s="45"/>
      <c r="C761" s="8" t="s">
        <v>797</v>
      </c>
    </row>
    <row r="762" spans="1:3" x14ac:dyDescent="0.3">
      <c r="A762" s="8" t="s">
        <v>798</v>
      </c>
      <c r="B762" s="45" t="e">
        <v>#DIV/0!</v>
      </c>
      <c r="C762" s="29" t="str">
        <f>IF(ISERROR(B762),"Error","Not Error")</f>
        <v>Error</v>
      </c>
    </row>
    <row r="763" spans="1:3" x14ac:dyDescent="0.3">
      <c r="A763" s="8" t="s">
        <v>799</v>
      </c>
      <c r="B763" s="45">
        <v>10</v>
      </c>
      <c r="C763" s="29" t="str">
        <f>IF(ISERROR(B763),"Error","Not Error")</f>
        <v>Not Error</v>
      </c>
    </row>
    <row r="764" spans="1:3" x14ac:dyDescent="0.3">
      <c r="A764" s="8"/>
      <c r="B764" s="61"/>
    </row>
    <row r="765" spans="1:3" x14ac:dyDescent="0.3">
      <c r="A765" s="8"/>
      <c r="C765" s="3" t="str">
        <f ca="1">_xlfn.FORMULATEXT(C762)</f>
        <v>=IF(ISERROR(B762),"Error","Not Error")</v>
      </c>
    </row>
    <row r="766" spans="1:3" x14ac:dyDescent="0.3">
      <c r="A766" s="8"/>
    </row>
    <row r="767" spans="1:3" x14ac:dyDescent="0.3">
      <c r="A767" s="23" t="s">
        <v>800</v>
      </c>
    </row>
    <row r="768" spans="1:3" ht="187.2" x14ac:dyDescent="0.3">
      <c r="A768" s="8" t="s">
        <v>801</v>
      </c>
    </row>
    <row r="769" spans="1:5" x14ac:dyDescent="0.3">
      <c r="A769" s="8"/>
    </row>
    <row r="770" spans="1:5" x14ac:dyDescent="0.3">
      <c r="A770" s="8"/>
      <c r="B770" s="8" t="s">
        <v>30</v>
      </c>
      <c r="C770" s="8" t="s">
        <v>802</v>
      </c>
      <c r="D770" s="8" t="s">
        <v>803</v>
      </c>
    </row>
    <row r="771" spans="1:5" x14ac:dyDescent="0.3">
      <c r="A771" s="8" t="s">
        <v>804</v>
      </c>
      <c r="B771" s="8" t="e">
        <v>#DIV/0!</v>
      </c>
      <c r="C771" s="8" t="b">
        <v>1</v>
      </c>
      <c r="D771" s="9" t="b">
        <f>NOT(ISERROR(B771))</f>
        <v>0</v>
      </c>
    </row>
    <row r="772" spans="1:5" x14ac:dyDescent="0.3">
      <c r="A772" s="8" t="s">
        <v>805</v>
      </c>
      <c r="B772" s="8" t="s">
        <v>805</v>
      </c>
      <c r="C772" s="8" t="b">
        <v>0</v>
      </c>
      <c r="D772" s="9" t="b">
        <f>NOT(ISERROR(B772))</f>
        <v>1</v>
      </c>
    </row>
    <row r="773" spans="1:5" x14ac:dyDescent="0.3">
      <c r="A773" s="8"/>
    </row>
    <row r="774" spans="1:5" x14ac:dyDescent="0.3">
      <c r="A774" s="8"/>
      <c r="D774" s="2" t="str">
        <f ca="1">_xlfn.FORMULATEXT(D771)</f>
        <v>=NOT(ISERROR(B771))</v>
      </c>
    </row>
    <row r="775" spans="1:5" x14ac:dyDescent="0.3">
      <c r="A775" s="8"/>
    </row>
    <row r="776" spans="1:5" x14ac:dyDescent="0.3">
      <c r="A776" s="23" t="s">
        <v>806</v>
      </c>
    </row>
    <row r="777" spans="1:5" ht="31.2" x14ac:dyDescent="0.3">
      <c r="A777" s="8" t="s">
        <v>807</v>
      </c>
    </row>
    <row r="778" spans="1:5" x14ac:dyDescent="0.3">
      <c r="A778" s="8"/>
    </row>
    <row r="779" spans="1:5" ht="31.2" x14ac:dyDescent="0.3">
      <c r="A779" s="8" t="s">
        <v>808</v>
      </c>
    </row>
    <row r="780" spans="1:5" x14ac:dyDescent="0.3">
      <c r="A780" s="8"/>
    </row>
    <row r="781" spans="1:5" ht="46.8" x14ac:dyDescent="0.3">
      <c r="A781" s="8" t="s">
        <v>826</v>
      </c>
    </row>
    <row r="782" spans="1:5" x14ac:dyDescent="0.3">
      <c r="A782" s="8"/>
    </row>
    <row r="783" spans="1:5" x14ac:dyDescent="0.3">
      <c r="A783" s="62" t="s">
        <v>362</v>
      </c>
      <c r="B783" s="62" t="s">
        <v>809</v>
      </c>
      <c r="C783" s="62" t="s">
        <v>810</v>
      </c>
      <c r="D783" s="62" t="s">
        <v>811</v>
      </c>
      <c r="E783" s="8"/>
    </row>
    <row r="784" spans="1:5" x14ac:dyDescent="0.3">
      <c r="A784" s="8" t="s">
        <v>812</v>
      </c>
      <c r="B784" s="8">
        <v>10000</v>
      </c>
      <c r="C784" s="8">
        <v>10000</v>
      </c>
      <c r="D784" s="8"/>
      <c r="E784" s="8"/>
    </row>
    <row r="785" spans="1:5" x14ac:dyDescent="0.3">
      <c r="A785" s="8" t="s">
        <v>813</v>
      </c>
      <c r="B785" s="8">
        <v>620</v>
      </c>
      <c r="C785" s="8">
        <v>710</v>
      </c>
      <c r="D785" s="8"/>
      <c r="E785" s="8"/>
    </row>
    <row r="786" spans="1:5" x14ac:dyDescent="0.3">
      <c r="A786" s="8" t="s">
        <v>814</v>
      </c>
      <c r="B786" s="9">
        <f>B785/B784</f>
        <v>6.2E-2</v>
      </c>
      <c r="C786" s="9">
        <f>C785/C784</f>
        <v>7.0999999999999994E-2</v>
      </c>
      <c r="D786" s="8"/>
      <c r="E786" s="8"/>
    </row>
    <row r="787" spans="1:5" x14ac:dyDescent="0.3">
      <c r="A787" s="8" t="s">
        <v>815</v>
      </c>
      <c r="B787" s="63">
        <f>SQRT(B786*(1-B786)/B784)</f>
        <v>2.411555514600483E-3</v>
      </c>
      <c r="C787" s="9">
        <f>SQRT(C786*(1-C786)/C784)</f>
        <v>2.5682484303509272E-3</v>
      </c>
      <c r="D787" s="64" t="s">
        <v>816</v>
      </c>
      <c r="E787" s="8"/>
    </row>
    <row r="788" spans="1:5" x14ac:dyDescent="0.3">
      <c r="A788" s="8"/>
      <c r="B788" s="8"/>
      <c r="C788" s="8"/>
      <c r="D788" s="8"/>
      <c r="E788" s="8"/>
    </row>
    <row r="789" spans="1:5" x14ac:dyDescent="0.3">
      <c r="A789" s="62" t="s">
        <v>817</v>
      </c>
      <c r="B789" s="62"/>
      <c r="C789" s="62" t="s">
        <v>811</v>
      </c>
      <c r="D789" s="8"/>
      <c r="E789" s="8"/>
    </row>
    <row r="790" spans="1:5" x14ac:dyDescent="0.3">
      <c r="A790" s="8" t="s">
        <v>818</v>
      </c>
      <c r="B790" s="9">
        <f>(C786-B786)/B786</f>
        <v>0.14516129032258054</v>
      </c>
      <c r="C790" s="64" t="s">
        <v>819</v>
      </c>
      <c r="D790" s="8"/>
      <c r="E790" s="8"/>
    </row>
    <row r="791" spans="1:5" x14ac:dyDescent="0.3">
      <c r="A791" s="8" t="s">
        <v>820</v>
      </c>
      <c r="B791" s="9">
        <f>SQRT(((B785+C785)/(B784+C784))*(1-((B785+C785)/(B784+C784)))*(1/B784+1/C784))</f>
        <v>3.5235706321854825E-3</v>
      </c>
      <c r="C791" s="64" t="s">
        <v>821</v>
      </c>
      <c r="D791" s="8"/>
      <c r="E791" s="8"/>
    </row>
    <row r="792" spans="1:5" x14ac:dyDescent="0.3">
      <c r="A792" s="8" t="s">
        <v>822</v>
      </c>
      <c r="B792" s="9">
        <f>(C786-B786)/B791</f>
        <v>2.554227214232903</v>
      </c>
      <c r="C792" s="64" t="s">
        <v>823</v>
      </c>
      <c r="D792" s="8"/>
      <c r="E792" s="8"/>
    </row>
    <row r="793" spans="1:5" x14ac:dyDescent="0.3">
      <c r="A793" s="8" t="s">
        <v>824</v>
      </c>
      <c r="B793" s="9" t="str">
        <f>IF(ABS(B792)&gt;1.96,"Yes","No")</f>
        <v>Yes</v>
      </c>
      <c r="C793" s="64" t="s">
        <v>825</v>
      </c>
      <c r="D793" s="8"/>
      <c r="E793" s="8"/>
    </row>
    <row r="794" spans="1:5" x14ac:dyDescent="0.3">
      <c r="A794" s="8"/>
    </row>
    <row r="795" spans="1:5" x14ac:dyDescent="0.3">
      <c r="A795" s="8"/>
      <c r="B795" s="3" t="str">
        <f ca="1">_xlfn.FORMULATEXT(B787)</f>
        <v>=SQRT(B786*(1-B786)/B784)</v>
      </c>
    </row>
    <row r="796" spans="1:5" x14ac:dyDescent="0.3">
      <c r="A796" s="8"/>
    </row>
    <row r="797" spans="1:5" x14ac:dyDescent="0.3">
      <c r="A797" s="23" t="s">
        <v>827</v>
      </c>
    </row>
    <row r="798" spans="1:5" ht="31.2" x14ac:dyDescent="0.3">
      <c r="A798" s="8" t="s">
        <v>828</v>
      </c>
    </row>
    <row r="799" spans="1:5" x14ac:dyDescent="0.3">
      <c r="A799" s="8"/>
    </row>
    <row r="800" spans="1:5" ht="46.8" x14ac:dyDescent="0.3">
      <c r="A800" s="8" t="s">
        <v>834</v>
      </c>
    </row>
    <row r="801" spans="1:3" x14ac:dyDescent="0.3">
      <c r="A801" s="8" t="s">
        <v>829</v>
      </c>
    </row>
    <row r="802" spans="1:3" x14ac:dyDescent="0.3">
      <c r="A802" s="8" t="s">
        <v>832</v>
      </c>
    </row>
    <row r="803" spans="1:3" x14ac:dyDescent="0.3">
      <c r="A803" s="8" t="s">
        <v>830</v>
      </c>
    </row>
    <row r="804" spans="1:3" x14ac:dyDescent="0.3">
      <c r="A804" s="8" t="s">
        <v>835</v>
      </c>
    </row>
    <row r="805" spans="1:3" x14ac:dyDescent="0.3">
      <c r="A805" s="8" t="s">
        <v>836</v>
      </c>
    </row>
    <row r="806" spans="1:3" x14ac:dyDescent="0.3">
      <c r="A806" s="8" t="s">
        <v>837</v>
      </c>
    </row>
    <row r="807" spans="1:3" x14ac:dyDescent="0.3">
      <c r="A807" s="8" t="s">
        <v>831</v>
      </c>
    </row>
    <row r="808" spans="1:3" x14ac:dyDescent="0.3">
      <c r="A808" s="8" t="s">
        <v>833</v>
      </c>
    </row>
    <row r="809" spans="1:3" x14ac:dyDescent="0.3">
      <c r="A809" s="8"/>
    </row>
    <row r="810" spans="1:3" x14ac:dyDescent="0.3">
      <c r="A810" s="11" t="s">
        <v>73</v>
      </c>
      <c r="B810" s="11" t="s">
        <v>838</v>
      </c>
      <c r="C810" s="11" t="s">
        <v>839</v>
      </c>
    </row>
    <row r="811" spans="1:3" x14ac:dyDescent="0.3">
      <c r="A811" s="8" t="s">
        <v>75</v>
      </c>
      <c r="B811" s="8">
        <v>50</v>
      </c>
      <c r="C811" s="8">
        <v>24</v>
      </c>
    </row>
    <row r="812" spans="1:3" x14ac:dyDescent="0.3">
      <c r="A812" s="8" t="s">
        <v>76</v>
      </c>
      <c r="B812" s="8">
        <v>60</v>
      </c>
      <c r="C812" s="8">
        <v>20</v>
      </c>
    </row>
    <row r="813" spans="1:3" x14ac:dyDescent="0.3">
      <c r="A813" s="8" t="s">
        <v>77</v>
      </c>
      <c r="B813" s="8">
        <v>0</v>
      </c>
      <c r="C813" s="8" t="e">
        <v>#DIV/0!</v>
      </c>
    </row>
    <row r="814" spans="1:3" x14ac:dyDescent="0.3">
      <c r="A814" s="8" t="s">
        <v>78</v>
      </c>
      <c r="B814" s="8">
        <v>40</v>
      </c>
      <c r="C814" s="8">
        <v>30</v>
      </c>
    </row>
    <row r="815" spans="1:3" x14ac:dyDescent="0.3">
      <c r="A815" s="8" t="s">
        <v>79</v>
      </c>
      <c r="B815" s="8">
        <v>80</v>
      </c>
      <c r="C815" s="8">
        <v>15</v>
      </c>
    </row>
    <row r="816" spans="1:3" x14ac:dyDescent="0.3">
      <c r="A816" s="8" t="s">
        <v>80</v>
      </c>
      <c r="B816" s="8">
        <v>0</v>
      </c>
      <c r="C816" s="8" t="e">
        <v>#DIV/0!</v>
      </c>
    </row>
    <row r="817" spans="1:3" x14ac:dyDescent="0.3">
      <c r="A817" s="8" t="s">
        <v>81</v>
      </c>
      <c r="B817" s="8" t="s">
        <v>840</v>
      </c>
      <c r="C817" s="8" t="e">
        <v>#VALUE!</v>
      </c>
    </row>
    <row r="818" spans="1:3" x14ac:dyDescent="0.3">
      <c r="A818" s="8" t="s">
        <v>82</v>
      </c>
      <c r="B818" s="8">
        <v>30</v>
      </c>
      <c r="C818" s="8">
        <v>40</v>
      </c>
    </row>
    <row r="819" spans="1:3" x14ac:dyDescent="0.3">
      <c r="A819" s="8" t="s">
        <v>841</v>
      </c>
      <c r="B819" s="8">
        <v>100</v>
      </c>
      <c r="C819" s="8">
        <v>12</v>
      </c>
    </row>
    <row r="820" spans="1:3" x14ac:dyDescent="0.3">
      <c r="A820" s="8" t="s">
        <v>842</v>
      </c>
      <c r="B820" s="8">
        <v>75</v>
      </c>
      <c r="C820" s="8">
        <v>16</v>
      </c>
    </row>
    <row r="821" spans="1:3" x14ac:dyDescent="0.3">
      <c r="A821" s="8" t="s">
        <v>843</v>
      </c>
      <c r="B821" s="8">
        <v>25</v>
      </c>
      <c r="C821" s="8">
        <v>48</v>
      </c>
    </row>
    <row r="822" spans="1:3" x14ac:dyDescent="0.3">
      <c r="A822" s="8"/>
      <c r="B822" s="8"/>
      <c r="C822" s="8"/>
    </row>
    <row r="823" spans="1:3" x14ac:dyDescent="0.3">
      <c r="A823" s="8" t="s">
        <v>844</v>
      </c>
      <c r="B823" s="9" t="e">
        <f>AVERAGE(C811:C821)</f>
        <v>#DIV/0!</v>
      </c>
      <c r="C823" s="8" t="str">
        <f ca="1">_xlfn.FORMULATEXT(B823)</f>
        <v>=AVERAGE(C811:C821)</v>
      </c>
    </row>
    <row r="824" spans="1:3" x14ac:dyDescent="0.3">
      <c r="A824" s="8" t="s">
        <v>845</v>
      </c>
      <c r="B824" s="9">
        <f>_xlfn.AGGREGATE(1,6,C811:C821)</f>
        <v>25.625</v>
      </c>
      <c r="C824" s="8" t="str">
        <f ca="1">_xlfn.FORMULATEXT(B824)</f>
        <v>=AGGREGATE(1,6,C811:C821)</v>
      </c>
    </row>
    <row r="825" spans="1:3" x14ac:dyDescent="0.3">
      <c r="A825" s="8" t="s">
        <v>846</v>
      </c>
      <c r="B825" s="9">
        <f>_xlfn.AGGREGATE(2,6,C811:C821)</f>
        <v>8</v>
      </c>
      <c r="C825" s="8" t="str">
        <f ca="1">_xlfn.FORMULATEXT(B825)</f>
        <v>=AGGREGATE(2,6,C811:C821)</v>
      </c>
    </row>
    <row r="826" spans="1:3" x14ac:dyDescent="0.3">
      <c r="A826" s="8"/>
    </row>
    <row r="827" spans="1:3" x14ac:dyDescent="0.3">
      <c r="A827" s="23" t="s">
        <v>847</v>
      </c>
    </row>
    <row r="828" spans="1:3" ht="31.2" x14ac:dyDescent="0.3">
      <c r="A828" s="8" t="s">
        <v>848</v>
      </c>
    </row>
    <row r="829" spans="1:3" x14ac:dyDescent="0.3">
      <c r="A829" s="8"/>
    </row>
    <row r="830" spans="1:3" x14ac:dyDescent="0.3">
      <c r="A830" s="8" t="s">
        <v>849</v>
      </c>
    </row>
    <row r="831" spans="1:3" x14ac:dyDescent="0.3">
      <c r="A831" s="8"/>
    </row>
    <row r="832" spans="1:3" x14ac:dyDescent="0.3">
      <c r="A832" s="8" t="s">
        <v>866</v>
      </c>
    </row>
    <row r="833" spans="1:5" x14ac:dyDescent="0.3">
      <c r="A833" s="8" t="s">
        <v>867</v>
      </c>
    </row>
    <row r="834" spans="1:5" x14ac:dyDescent="0.3">
      <c r="A834" s="8" t="s">
        <v>868</v>
      </c>
    </row>
    <row r="835" spans="1:5" x14ac:dyDescent="0.3">
      <c r="A835" s="8"/>
    </row>
    <row r="836" spans="1:5" ht="31.2" x14ac:dyDescent="0.3">
      <c r="A836" s="8" t="s">
        <v>850</v>
      </c>
    </row>
    <row r="837" spans="1:5" ht="156" x14ac:dyDescent="0.3">
      <c r="A837" s="8" t="s">
        <v>851</v>
      </c>
    </row>
    <row r="838" spans="1:5" x14ac:dyDescent="0.3">
      <c r="A838" s="8"/>
    </row>
    <row r="839" spans="1:5" x14ac:dyDescent="0.3">
      <c r="A839" s="11" t="s">
        <v>46</v>
      </c>
      <c r="B839" s="11" t="s">
        <v>852</v>
      </c>
      <c r="C839" s="65" t="s">
        <v>853</v>
      </c>
      <c r="D839" s="11" t="s">
        <v>854</v>
      </c>
      <c r="E839" s="11" t="s">
        <v>855</v>
      </c>
    </row>
    <row r="840" spans="1:5" x14ac:dyDescent="0.3">
      <c r="A840" s="8" t="s">
        <v>614</v>
      </c>
      <c r="B840" s="8">
        <v>1200</v>
      </c>
      <c r="C840" s="66">
        <v>1450</v>
      </c>
      <c r="D840" s="8" t="e">
        <v>#N/A</v>
      </c>
      <c r="E840" s="8">
        <v>1600</v>
      </c>
    </row>
    <row r="841" spans="1:5" x14ac:dyDescent="0.3">
      <c r="A841" s="8" t="s">
        <v>615</v>
      </c>
      <c r="B841" s="8">
        <v>850</v>
      </c>
      <c r="C841" s="66" t="e">
        <v>#N/A</v>
      </c>
      <c r="D841" s="8">
        <v>920</v>
      </c>
      <c r="E841" s="8">
        <v>1100</v>
      </c>
    </row>
    <row r="842" spans="1:5" x14ac:dyDescent="0.3">
      <c r="A842" s="8" t="s">
        <v>617</v>
      </c>
      <c r="B842" s="8">
        <v>2100</v>
      </c>
      <c r="C842" s="66">
        <v>2300</v>
      </c>
      <c r="D842" s="8">
        <v>2150</v>
      </c>
      <c r="E842" s="8" t="e">
        <v>#N/A</v>
      </c>
    </row>
    <row r="843" spans="1:5" x14ac:dyDescent="0.3">
      <c r="A843" s="8" t="s">
        <v>618</v>
      </c>
      <c r="B843" s="8">
        <v>1500</v>
      </c>
      <c r="C843" s="66">
        <v>1650</v>
      </c>
      <c r="D843" s="8">
        <v>1800</v>
      </c>
      <c r="E843" s="8">
        <v>1950</v>
      </c>
    </row>
    <row r="844" spans="1:5" x14ac:dyDescent="0.3">
      <c r="A844" s="8" t="s">
        <v>620</v>
      </c>
      <c r="B844" s="8" t="e">
        <v>#N/A</v>
      </c>
      <c r="C844" s="66">
        <v>780</v>
      </c>
      <c r="D844" s="8">
        <v>850</v>
      </c>
      <c r="E844" s="8">
        <v>920</v>
      </c>
    </row>
    <row r="845" spans="1:5" x14ac:dyDescent="0.3">
      <c r="A845" s="8"/>
      <c r="B845" s="8"/>
      <c r="C845" s="8"/>
      <c r="D845" s="8"/>
      <c r="E845" s="8"/>
    </row>
    <row r="846" spans="1:5" x14ac:dyDescent="0.3">
      <c r="A846" s="8" t="s">
        <v>856</v>
      </c>
      <c r="B846" s="8"/>
      <c r="C846" s="29">
        <f>_xlfn.AGGREGATE(9,6,C840:C844)</f>
        <v>6180</v>
      </c>
      <c r="D846" s="8"/>
      <c r="E846" s="8"/>
    </row>
    <row r="847" spans="1:5" x14ac:dyDescent="0.3">
      <c r="A847" s="8"/>
      <c r="B847" s="8"/>
      <c r="C847" s="8" t="str">
        <f ca="1">_xlfn.FORMULATEXT(C846)</f>
        <v>=AGGREGATE(9,6,C840:C844)</v>
      </c>
      <c r="D847" s="8"/>
      <c r="E847" s="8"/>
    </row>
    <row r="848" spans="1:5" x14ac:dyDescent="0.3">
      <c r="A848" s="8"/>
    </row>
    <row r="849" spans="1:1" x14ac:dyDescent="0.3">
      <c r="A849" s="8"/>
    </row>
    <row r="850" spans="1:1" x14ac:dyDescent="0.3">
      <c r="A850" s="8"/>
    </row>
    <row r="851" spans="1:1" x14ac:dyDescent="0.3">
      <c r="A851" s="8"/>
    </row>
    <row r="852" spans="1:1" x14ac:dyDescent="0.3">
      <c r="A852" s="8"/>
    </row>
    <row r="853" spans="1:1" x14ac:dyDescent="0.3">
      <c r="A853" s="8"/>
    </row>
    <row r="854" spans="1:1" x14ac:dyDescent="0.3">
      <c r="A854" s="8"/>
    </row>
    <row r="855" spans="1:1" x14ac:dyDescent="0.3">
      <c r="A855" s="8"/>
    </row>
    <row r="856" spans="1:1" x14ac:dyDescent="0.3">
      <c r="A856" s="8"/>
    </row>
    <row r="857" spans="1:1" x14ac:dyDescent="0.3">
      <c r="A857" s="8"/>
    </row>
    <row r="858" spans="1:1" x14ac:dyDescent="0.3">
      <c r="A858" s="8"/>
    </row>
    <row r="859" spans="1:1" x14ac:dyDescent="0.3">
      <c r="A859" s="8"/>
    </row>
    <row r="860" spans="1:1" x14ac:dyDescent="0.3">
      <c r="A860" s="8"/>
    </row>
    <row r="861" spans="1:1" x14ac:dyDescent="0.3">
      <c r="A861" s="8"/>
    </row>
    <row r="862" spans="1:1" x14ac:dyDescent="0.3">
      <c r="A862" s="8"/>
    </row>
    <row r="863" spans="1:1" x14ac:dyDescent="0.3">
      <c r="A863" s="8"/>
    </row>
    <row r="864" spans="1:1" x14ac:dyDescent="0.3">
      <c r="A864" s="8"/>
    </row>
    <row r="865" spans="1:1" x14ac:dyDescent="0.3">
      <c r="A865" s="8"/>
    </row>
    <row r="866" spans="1:1" x14ac:dyDescent="0.3">
      <c r="A866" s="8"/>
    </row>
    <row r="867" spans="1:1" x14ac:dyDescent="0.3">
      <c r="A867" s="8"/>
    </row>
    <row r="868" spans="1:1" x14ac:dyDescent="0.3">
      <c r="A868" s="8"/>
    </row>
    <row r="869" spans="1:1" x14ac:dyDescent="0.3">
      <c r="A869" s="8"/>
    </row>
    <row r="870" spans="1:1" x14ac:dyDescent="0.3">
      <c r="A870" s="8"/>
    </row>
    <row r="871" spans="1:1" x14ac:dyDescent="0.3">
      <c r="A871" s="8"/>
    </row>
    <row r="872" spans="1:1" x14ac:dyDescent="0.3">
      <c r="A872" s="8"/>
    </row>
    <row r="873" spans="1:1" x14ac:dyDescent="0.3">
      <c r="A873" s="8"/>
    </row>
    <row r="874" spans="1:1" x14ac:dyDescent="0.3">
      <c r="A874" s="8"/>
    </row>
    <row r="875" spans="1:1" x14ac:dyDescent="0.3">
      <c r="A875" s="8"/>
    </row>
    <row r="876" spans="1:1" x14ac:dyDescent="0.3">
      <c r="A876" s="8"/>
    </row>
    <row r="877" spans="1:1" x14ac:dyDescent="0.3">
      <c r="A877" s="8"/>
    </row>
    <row r="878" spans="1:1" x14ac:dyDescent="0.3">
      <c r="A878" s="8"/>
    </row>
    <row r="879" spans="1:1" x14ac:dyDescent="0.3">
      <c r="A879" s="8"/>
    </row>
    <row r="880" spans="1:1" x14ac:dyDescent="0.3">
      <c r="A880" s="8"/>
    </row>
    <row r="881" spans="1:1" x14ac:dyDescent="0.3">
      <c r="A881" s="8"/>
    </row>
    <row r="882" spans="1:1" x14ac:dyDescent="0.3">
      <c r="A882" s="8"/>
    </row>
    <row r="883" spans="1:1" x14ac:dyDescent="0.3">
      <c r="A883" s="8"/>
    </row>
    <row r="884" spans="1:1" x14ac:dyDescent="0.3">
      <c r="A884" s="8"/>
    </row>
    <row r="885" spans="1:1" x14ac:dyDescent="0.3">
      <c r="A885" s="8"/>
    </row>
    <row r="886" spans="1:1" x14ac:dyDescent="0.3">
      <c r="A886" s="8"/>
    </row>
    <row r="887" spans="1:1" x14ac:dyDescent="0.3">
      <c r="A887" s="8"/>
    </row>
    <row r="888" spans="1:1" x14ac:dyDescent="0.3">
      <c r="A888" s="8"/>
    </row>
    <row r="889" spans="1:1" x14ac:dyDescent="0.3">
      <c r="A889" s="8"/>
    </row>
    <row r="890" spans="1:1" x14ac:dyDescent="0.3">
      <c r="A890" s="8"/>
    </row>
    <row r="891" spans="1:1" x14ac:dyDescent="0.3">
      <c r="A891" s="8"/>
    </row>
    <row r="892" spans="1:1" x14ac:dyDescent="0.3">
      <c r="A892" s="8"/>
    </row>
    <row r="893" spans="1:1" x14ac:dyDescent="0.3">
      <c r="A893" s="8"/>
    </row>
    <row r="894" spans="1:1" x14ac:dyDescent="0.3">
      <c r="A894" s="8"/>
    </row>
    <row r="895" spans="1:1" x14ac:dyDescent="0.3">
      <c r="A895" s="8"/>
    </row>
    <row r="896" spans="1:1" x14ac:dyDescent="0.3">
      <c r="A896" s="8"/>
    </row>
    <row r="897" spans="1:1" x14ac:dyDescent="0.3">
      <c r="A897" s="8"/>
    </row>
    <row r="898" spans="1:1" x14ac:dyDescent="0.3">
      <c r="A898" s="8"/>
    </row>
    <row r="899" spans="1:1" x14ac:dyDescent="0.3">
      <c r="A899" s="8"/>
    </row>
    <row r="900" spans="1:1" x14ac:dyDescent="0.3">
      <c r="A900" s="8"/>
    </row>
    <row r="901" spans="1:1" x14ac:dyDescent="0.3">
      <c r="A901" s="8"/>
    </row>
    <row r="902" spans="1:1" x14ac:dyDescent="0.3">
      <c r="A902" s="8"/>
    </row>
    <row r="903" spans="1:1" x14ac:dyDescent="0.3">
      <c r="A903" s="8"/>
    </row>
    <row r="904" spans="1:1" x14ac:dyDescent="0.3">
      <c r="A904" s="8"/>
    </row>
    <row r="905" spans="1:1" x14ac:dyDescent="0.3">
      <c r="A905" s="8"/>
    </row>
    <row r="906" spans="1:1" x14ac:dyDescent="0.3">
      <c r="A906" s="8"/>
    </row>
    <row r="907" spans="1:1" x14ac:dyDescent="0.3">
      <c r="A907" s="8"/>
    </row>
    <row r="908" spans="1:1" x14ac:dyDescent="0.3">
      <c r="A908" s="8"/>
    </row>
    <row r="909" spans="1:1" x14ac:dyDescent="0.3">
      <c r="A909" s="8"/>
    </row>
    <row r="910" spans="1:1" x14ac:dyDescent="0.3">
      <c r="A910" s="8"/>
    </row>
    <row r="911" spans="1:1" x14ac:dyDescent="0.3">
      <c r="A911" s="8"/>
    </row>
    <row r="912" spans="1:1" x14ac:dyDescent="0.3">
      <c r="A912" s="8"/>
    </row>
    <row r="913" spans="1:1" x14ac:dyDescent="0.3">
      <c r="A913" s="8"/>
    </row>
    <row r="914" spans="1:1" x14ac:dyDescent="0.3">
      <c r="A914" s="8"/>
    </row>
    <row r="915" spans="1:1" x14ac:dyDescent="0.3">
      <c r="A915" s="8"/>
    </row>
    <row r="916" spans="1:1" x14ac:dyDescent="0.3">
      <c r="A916" s="8"/>
    </row>
    <row r="917" spans="1:1" x14ac:dyDescent="0.3">
      <c r="A917" s="8"/>
    </row>
  </sheetData>
  <mergeCells count="18">
    <mergeCell ref="E627:F627"/>
    <mergeCell ref="B572:B574"/>
    <mergeCell ref="B550:B552"/>
    <mergeCell ref="B500:C500"/>
    <mergeCell ref="C236:C237"/>
    <mergeCell ref="B256:C256"/>
    <mergeCell ref="C359:C360"/>
    <mergeCell ref="C476:E476"/>
    <mergeCell ref="C477:E477"/>
    <mergeCell ref="B756:C756"/>
    <mergeCell ref="B718:D718"/>
    <mergeCell ref="B742:D742"/>
    <mergeCell ref="B743:D743"/>
    <mergeCell ref="C669:D669"/>
    <mergeCell ref="B684:C684"/>
    <mergeCell ref="B685:C685"/>
    <mergeCell ref="B700:C700"/>
    <mergeCell ref="B702:C70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2026-07-01T19:00:45Z</dcterms:modified>
</cp:coreProperties>
</file>